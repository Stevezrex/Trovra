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Learners" sheetId="2" state="visible" r:id="rId4"/>
    <sheet name="Trials" sheetId="3" state="visible" r:id="rId5"/>
    <sheet name="Case A" sheetId="4" state="visible" r:id="rId6"/>
    <sheet name="Case B" sheetId="5" state="visible" r:id="rId7"/>
    <sheet name="Case C" sheetId="6" state="visible" r:id="rId8"/>
    <sheet name="Case D" sheetId="7" state="visible" r:id="rId9"/>
    <sheet name="Transcripts" sheetId="8" state="visible" r:id="rId10"/>
    <sheet name="Rubric" sheetId="9" state="visible" r:id="rId11"/>
    <sheet name="Calibration" sheetId="10" state="visible" r:id="rId12"/>
  </sheets>
  <definedNames>
    <definedName function="false" hidden="true" localSheetId="3" name="_xlnm._FilterDatabase" vbProcedure="false">'Case A'!$A$5:$AF$10</definedName>
    <definedName function="false" hidden="true" localSheetId="4" name="_xlnm._FilterDatabase" vbProcedure="false">'Case B'!$A$5:$AF$10</definedName>
    <definedName function="false" hidden="true" localSheetId="5" name="_xlnm._FilterDatabase" vbProcedure="false">'Case C'!$A$5:$AF$10</definedName>
    <definedName function="false" hidden="true" localSheetId="6" name="_xlnm._FilterDatabase" vbProcedure="false">'Case D'!$A$5:$AF$10</definedName>
    <definedName function="false" hidden="true" localSheetId="1" name="_xlnm._FilterDatabase" vbProcedure="false">Learners!$A$5:$O$10</definedName>
    <definedName function="false" hidden="true" localSheetId="7" name="_xlnm._FilterDatabase" vbProcedure="false">Transcripts!$A$4:$H$156</definedName>
    <definedName function="false" hidden="true" localSheetId="2" name="_xlnm._FilterDatabase" vbProcedure="false">Trials!$A$5:$K$11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<sst xmlns="http://schemas.openxmlformats.org/spreadsheetml/2006/main" count="1496" uniqueCount="446">
  <si>
    <t xml:space="preserve">Week 7 marking workbook: Trovra support desk simulation</t>
  </si>
  <si>
    <t xml:space="preserve">FAKE DATA. Every record in this file was generated by a script. Use it to test the workflow, not to mark learners.</t>
  </si>
  <si>
    <t xml:space="preserve">Certificate in Customer Service and Virtual Assistance. Week 7: difficult customers and conflict resolution. Checkpoint: role-play rubric.</t>
  </si>
  <si>
    <t xml:space="preserve">1. Choose the trial</t>
  </si>
  <si>
    <t xml:space="preserve">On the Learners sheet, type 1, 2 or 3 in the yellow Selected trial cell for each learner. Nothing is chosen for you: the workbook does not pick the latest or the highest-scoring trial. Only submitted trials can be marked.</t>
  </si>
  <si>
    <t xml:space="preserve">2. Read the evidence</t>
  </si>
  <si>
    <t xml:space="preserve">Case sheets list every submitted trial. Rows for the selected trial turn green and show SELECTED. Filter column D on SELECTED to see only those. Read the Transcript and Note columns. The Transcripts sheet shows the same transcripts one message per row.</t>
  </si>
  <si>
    <t xml:space="preserve">3. Score</t>
  </si>
  <si>
    <t xml:space="preserve">Type scores into the yellow cells. Reply criteria R1 to R10: 0 (not shown), 1 (partly shown), 2 (clearly shown). Note criteria N1 to N5: 0 or 1. Totals calculate by themselves.</t>
  </si>
  <si>
    <t xml:space="preserve">4. Check totals</t>
  </si>
  <si>
    <t xml:space="preserve">The Learners sheet adds the four case totals into a mark out of 100 for the selected trial. The Trials sheet shows a total for every trial.</t>
  </si>
  <si>
    <t xml:space="preserve">Engine evidence</t>
  </si>
  <si>
    <t xml:space="preserve">Flags, Signals and Heat history come from the rule engine. They point you to things worth checking, such as an overpromise, a boundary, or a missed window. They do not award marks and they can miss valid phrasings. Score from the transcript.</t>
  </si>
  <si>
    <t xml:space="preserve">Transcripts are untouched</t>
  </si>
  <si>
    <t xml:space="preserve">Learner messages are copied exactly as stored. Do not edit them. Times are West Africa Time (WAT).</t>
  </si>
  <si>
    <t xml:space="preserve">Calibration</t>
  </si>
  <si>
    <t xml:space="preserve">Before marking the cohort, two people (or you twice, a day apart) score the same two sample transcripts. Record the totals on the Calibration sheet and discuss any criterion where scores differ by more than 1 mark.</t>
  </si>
  <si>
    <t xml:space="preserve">Marks</t>
  </si>
  <si>
    <t xml:space="preserve">Each case: 20 marks for replies (10 criteria x 2) plus 5 marks for the service recovery note. Four cases: 100 marks per trial.</t>
  </si>
  <si>
    <t xml:space="preserve">Cell colours</t>
  </si>
  <si>
    <t xml:space="preserve">Yellow fill with blue text: you type here. Green row: selected trial. Everything else is locked in your head only: the sheets are not protected, so avoid typing over them.</t>
  </si>
  <si>
    <t xml:space="preserve">Source file</t>
  </si>
  <si>
    <t xml:space="preserve">sample/fake_trials.csv: 6 trial(s), 5 submitted, 5 learner(s).</t>
  </si>
  <si>
    <t xml:space="preserve">Learners and marks</t>
  </si>
  <si>
    <t xml:space="preserve">Choose the trial to mark in the yellow column. Marks come from the case sheets for that trial. A blank selection means that learner is not yet chosen.</t>
  </si>
  <si>
    <t xml:space="preserve">Learner</t>
  </si>
  <si>
    <t xml:space="preserve">Email</t>
  </si>
  <si>
    <t xml:space="preserve">Trials submitted</t>
  </si>
  <si>
    <t xml:space="preserve">Selected trial</t>
  </si>
  <si>
    <t xml:space="preserve">Selection check</t>
  </si>
  <si>
    <t xml:space="preserve">A replies</t>
  </si>
  <si>
    <t xml:space="preserve">A note</t>
  </si>
  <si>
    <t xml:space="preserve">B replies</t>
  </si>
  <si>
    <t xml:space="preserve">B note</t>
  </si>
  <si>
    <t xml:space="preserve">C replies</t>
  </si>
  <si>
    <t xml:space="preserve">C note</t>
  </si>
  <si>
    <t xml:space="preserve">D replies</t>
  </si>
  <si>
    <t xml:space="preserve">D note</t>
  </si>
  <si>
    <t xml:space="preserve">Total (of 100)</t>
  </si>
  <si>
    <t xml:space="preserve">Entries filled (of 60)</t>
  </si>
  <si>
    <t xml:space="preserve">Chidi Eze</t>
  </si>
  <si>
    <t xml:space="preserve">chidi.eze@example.test</t>
  </si>
  <si>
    <t xml:space="preserve">1, 2</t>
  </si>
  <si>
    <t xml:space="preserve">Funmi Bello</t>
  </si>
  <si>
    <t xml:space="preserve">funmi.bello@example.test</t>
  </si>
  <si>
    <t xml:space="preserve">1</t>
  </si>
  <si>
    <t xml:space="preserve">Garba Musa</t>
  </si>
  <si>
    <t xml:space="preserve">garba.musa@example.test</t>
  </si>
  <si>
    <t xml:space="preserve">Halima Yusuf</t>
  </si>
  <si>
    <t xml:space="preserve">halima.yusuf@example.test</t>
  </si>
  <si>
    <t xml:space="preserve">Ifeanyi Obi</t>
  </si>
  <si>
    <t xml:space="preserve">ifeanyi.obi@example.test</t>
  </si>
  <si>
    <t xml:space="preserve">none</t>
  </si>
  <si>
    <t xml:space="preserve">All trials</t>
  </si>
  <si>
    <t xml:space="preserve">Every trial that exists, submitted or open. Open trials cannot be marked. Totals show the marks entered so far for each trial.</t>
  </si>
  <si>
    <t xml:space="preserve">Trial</t>
  </si>
  <si>
    <t xml:space="preserve">Fact set</t>
  </si>
  <si>
    <t xml:space="preserve">Status</t>
  </si>
  <si>
    <t xml:space="preserve">Shift started (WAT)</t>
  </si>
  <si>
    <t xml:space="preserve">Submitted (WAT)</t>
  </si>
  <si>
    <t xml:space="preserve">Resets</t>
  </si>
  <si>
    <t xml:space="preserve">Offline gaps</t>
  </si>
  <si>
    <t xml:space="preserve">Selected for marking?</t>
  </si>
  <si>
    <t xml:space="preserve">Total entered (of 100)</t>
  </si>
  <si>
    <t xml:space="preserve">submitted</t>
  </si>
  <si>
    <t xml:space="preserve">Mon, 26 Oct 2026, 9:00am WAT</t>
  </si>
  <si>
    <t xml:space="preserve">Mon, 26 Oct 2026, 9:24am WAT</t>
  </si>
  <si>
    <t xml:space="preserve">Mon, 26 Oct 2026, 10:24am WAT</t>
  </si>
  <si>
    <t xml:space="preserve">Mon, 26 Oct 2026, 10:36am WAT</t>
  </si>
  <si>
    <t xml:space="preserve">Mon, 26 Oct 2026, 11:06am WAT</t>
  </si>
  <si>
    <t xml:space="preserve">Mon, 26 Oct 2026, 11:31am WAT</t>
  </si>
  <si>
    <t xml:space="preserve">Mon, 26 Oct 2026, 12:01pm WAT</t>
  </si>
  <si>
    <t xml:space="preserve">Mon, 26 Oct 2026, 12:20pm WAT</t>
  </si>
  <si>
    <t xml:space="preserve">Mon, 26 Oct 2026, 12:50pm WAT</t>
  </si>
  <si>
    <t xml:space="preserve">Mon, 26 Oct 2026, 1:24pm WAT</t>
  </si>
  <si>
    <t xml:space="preserve">Mon, 26 Oct 2026, 12:50pm WAT to Mon, 26 Oct 2026, 1:10pm WAT (1200s)</t>
  </si>
  <si>
    <t xml:space="preserve">open</t>
  </si>
  <si>
    <t xml:space="preserve">Mon, 26 Oct 2026, 1:54pm WAT</t>
  </si>
  <si>
    <t xml:space="preserve">Open: not markable</t>
  </si>
  <si>
    <t xml:space="preserve">Case A: delayed delivery (chat)</t>
  </si>
  <si>
    <t xml:space="preserve">Acceptance condition: the learner has checked the order or tracking, has stated a trace with an update time, has explained the refund route that applies if no date can be confirmed, and has promised no delivery date.</t>
  </si>
  <si>
    <t xml:space="preserve">Yellow cells: type 0, 1 or 2 for R1 to R10, and 0 or 1 for N1 to N5. Rows for the trial you selected on the Learners sheet turn green.</t>
  </si>
  <si>
    <t xml:space="preserve">Selected?</t>
  </si>
  <si>
    <t xml:space="preserve">Outcome</t>
  </si>
  <si>
    <t xml:space="preserve">Missed windows</t>
  </si>
  <si>
    <t xml:space="preserve">Learner replies</t>
  </si>
  <si>
    <t xml:space="preserve">Transcript</t>
  </si>
  <si>
    <t xml:space="preserve">Service recovery note</t>
  </si>
  <si>
    <t xml:space="preserve">Engine flags (evidence only)</t>
  </si>
  <si>
    <t xml:space="preserve">Signals by reply (evidence only)</t>
  </si>
  <si>
    <t xml:space="preserve">Heat history (evidence only)</t>
  </si>
  <si>
    <t xml:space="preserve">Case facts</t>
  </si>
  <si>
    <t xml:space="preserve">R1. Paraphrases the facts accurately</t>
  </si>
  <si>
    <t xml:space="preserve">R2. Acknowledges the specific impact without arguing about emotion</t>
  </si>
  <si>
    <t xml:space="preserve">R3. Does not match hostility</t>
  </si>
  <si>
    <t xml:space="preserve">R4. Separates verified facts from assumptions</t>
  </si>
  <si>
    <t xml:space="preserve">R5. Asks relevant questions when needed, or proceeds without unnecessary questions when the facts are sufficient</t>
  </si>
  <si>
    <t xml:space="preserve">R6. Explains realistic options and limits</t>
  </si>
  <si>
    <t xml:space="preserve">R7. Confirms the next action, owner and timing</t>
  </si>
  <si>
    <t xml:space="preserve">R8. Checks the order and tracking before promising</t>
  </si>
  <si>
    <t xml:space="preserve">R9. Promises no unconfirmed delivery date</t>
  </si>
  <si>
    <t xml:space="preserve">R10. Gives an update time separate from the completion time</t>
  </si>
  <si>
    <t xml:space="preserve">Reply total (of 20)</t>
  </si>
  <si>
    <t xml:space="preserve">N1. Issue and wanted outcome are stated as facts</t>
  </si>
  <si>
    <t xml:space="preserve">N2. Verified and unconfirmed facts are separated</t>
  </si>
  <si>
    <t xml:space="preserve">N3. Recorded action matches the transcript</t>
  </si>
  <si>
    <t xml:space="preserve">N4. Next step, owner and time match what the customer was told</t>
  </si>
  <si>
    <t xml:space="preserve">N5. Conduct or escalation entry matches the case requirements</t>
  </si>
  <si>
    <t xml:space="preserve">Note total (of 5)</t>
  </si>
  <si>
    <t xml:space="preserve">Case total (of 25)</t>
  </si>
  <si>
    <t xml:space="preserve">Entries filled (of 15)</t>
  </si>
  <si>
    <t xml:space="preserve">unresolved</t>
  </si>
  <si>
    <t xml:space="preserve">[9:00am] CUSTOMER:
You promised my Ankara aso ebi set yesterday. It did not come. I have wasted the whole day waiting. I want my money back.
[9:00am] AGENT (after 25s):
Please check the policy.
[9:00am] CUSTOMER:
This is useless. I am wasting my airtime on you. Refund me now or I will report Trovra.
[9:00am] AGENT (after 26s):
Calm down. You should have waited. Whatever.
[9:00am] CUSTOMER:
You people are wicked. You take money and give excuses. I want my refund now.
[9:01am] AGENT (after 26s):
There is nothing I can do.
[9:01am] CUSTOMER:
You keep talking but you are not telling me anything. Where is my order?
[9:01am] AGENT (after 26s):
Wait.
[9:01am] CUSTOMER:
I am tired of this. Every answer sounds the same. Just give me my money.
[9:02am] AGENT (after 47s):
Okay bye.
[9:02am] CUSTOMER (customer closes):
I have had enough. I am leaving this chat and I will take this up elsewhere.</t>
  </si>
  <si>
    <t xml:space="preserve">[completed]
1. Issue: Late
2. Key facts: Late order
3. Verification: 
4. Action: 
5. Outcome: 
6. Next step: 
7. Owner and date: 
8. Conduct or escalation: None</t>
  </si>
  <si>
    <t xml:space="preserve">0:25 blame_or_policy_dodge
0:54 learner_hostility
0:54 blame_or_policy_dodge
1:23 blame_or_policy_dodge
1:52 brush_off
2:42 brush_off
2:42 reply_cap_reached</t>
  </si>
  <si>
    <t xml:space="preserve">Reply 1: blame_or_policy_dodge | heat after: 5 | customer line: heat5a
Reply 2: blame_or_policy_dodge, hostility | heat after: 5 | customer line: heat5b
Reply 3: blame_or_policy_dodge | heat after: 5 | customer line: heat4a
Reply 4: brush_off | heat after: 5 | customer line: heat4b
Reply 5: brush_off | heat after: 5 | customer line: close | outcome: unresolved</t>
  </si>
  <si>
    <t xml:space="preserve">0:00 heat 3 (opener)
0:25 heat 5 (stage,negative+1)
0:54 heat 5 (stage,negative+2)
1:23 heat 5 (stage,negative+1)
1:52 heat 5 (stage,negative+1)
2:42 heat 5 (stage,negative+1)</t>
  </si>
  <si>
    <t xml:space="preserve">customer: Chioma Okafor
item: Ankara aso ebi set
orderNo: TRV48213
amount: ₦24,500
event: my sister's naming ceremony on Saturday
ordered: 6 days ago
city: Lagos
lastScan: 3 days ago at the Ikeja hub</t>
  </si>
  <si>
    <t xml:space="preserve">resolved</t>
  </si>
  <si>
    <t xml:space="preserve">[10:24am] CUSTOMER:
You promised my standing fan yesterday. It did not come. I have wasted the whole day waiting. I want my money back.
[10:25am] AGENT (after 25s):
I am sorry about the delay, and I understand you need the standing fan for the church program on Sunday. I have checked order TRV51907 and the tracking shows 4 days ago at the Abuja hub. There is no proof of delivery.
[10:25am] CUSTOMER:
I did not ask for that. You have not answered me.
[10:25am] AGENT (after 26s):
I will raise a delivery trace with Logistics now and I will update you by 3pm today. Logistics responds within 24 hours. If Logistics cannot confirm a delivery date, you can cancel for a full refund of ₦38,900 to your Trovra Wallet within 3 working days. I cannot promise a delivery date.
[10:25am] CUSTOMER:
Fine. I will wait until 3pm. Please do not let me down again.</t>
  </si>
  <si>
    <t xml:space="preserve">[completed]
1. Issue: Customer reports order delayed past promised date and wants a refund.
2. Key facts: Promised yesterday, tracking At hub, last scan 3 days ago, no proof of delivery.
3. Verification: Checked order and tracking. Delivery date unconfirmed.
4. Action: Raised delivery trace with Logistics, explained refund route. Agent decision.
5. Outcome: Customer agreed to wait until 3pm.
6. Next step: Update customer on trace.
7. Owner and date: Agent, 3pm today.
8. Conduct or escalation: None</t>
  </si>
  <si>
    <t xml:space="preserve">Reply 1: acknowledgement_with_impact, action_with_fact, next_step_action_owner_time | time given: sunday | heat after: 2 | customer line: rejected1
Reply 2: options, limit_stated, next_step_action_owner_time, trace_with_update_time, refund_route_explained | time given: 3pm | heat after: 3 | customer line: grudging | outcome: resolved</t>
  </si>
  <si>
    <t xml:space="preserve">0:00 heat 3 (opener)
0:25 heat 2 (stage,ack,action)
0:54 heat 3 (stage)</t>
  </si>
  <si>
    <t xml:space="preserve">customer: Musa Ibrahim
item: standing fan
orderNo: TRV51907
amount: ₦38,900
event: the church program on Sunday
ordered: 7 days ago
city: Abuja
lastScan: 4 days ago at the Abuja hub</t>
  </si>
  <si>
    <t xml:space="preserve">[11:06am] CUSTOMER:
You promised my Ankara aso ebi set yesterday. It did not come. I have wasted the whole day waiting. I want my money back.
[11:06am] AGENT (after 25s):
Please check the policy.
[11:06am] CUSTOMER:
This is useless. I am wasting my airtime on you. Refund me now or I will report Trovra.
[11:07am] AGENT (after 26s):
Calm down. You should have waited. Whatever.
[11:07am] CUSTOMER:
You people are wicked. You take money and give excuses. I want my refund now.
[11:07am] AGENT (after 26s):
There is nothing I can do.
[11:07am] CUSTOMER:
You keep talking but you are not telling me anything. Where is my order?
[11:08am] AGENT (after 26s):
Wait.
[11:08am] CUSTOMER:
I am tired of this. Every answer sounds the same. Just give me my money.
[11:09am] AGENT (after 47s):
Okay bye.
[11:09am] CUSTOMER (customer closes):
I have had enough. I am leaving this chat and I will take this up elsewhere.</t>
  </si>
  <si>
    <t xml:space="preserve">[12:01pm] CUSTOMER:
You promised my Ankara aso ebi set yesterday. It did not come. I have wasted the whole day waiting. I want my money back.
[12:01pm] AGENT (after 25s):
I am sorry about the delay. I have checked order TRV48213. Your order will arrive tomorrow by 2pm, I promise.
[12:01pm] CUSTOMER:
Okay, 2pm then. I will hold you to that.
[12:02pm] AGENT (after 26s):
I will refund you today and Logistics will update you by 5pm.
[12:02pm] CUSTOMER:
Okay, 5pm then. I will hold you to that.
[12:02pm] AGENT (after 26s):
I have checked tracking on TRV48213. Logistics will trace it and update you by 5pm today. If they cannot confirm a date you can cancel for a refund to your wallet within 3 working days.
[12:02pm] CUSTOMER:
Fine. I will wait until 5pm. Please do not let me down again.</t>
  </si>
  <si>
    <t xml:space="preserve">[completed]
1. Issue: Delay. Customer wants refund.
2. Key facts: Order delayed.
3. Verification: 
4. Action: Promised delivery tomorrow 2pm.
5. Outcome: Customer happy.
6. Next step: Deliver tomorrow.
7. Owner and date: Logistics, tomorrow
8. Conduct or escalation: None</t>
  </si>
  <si>
    <t xml:space="preserve">0:25 overpromise_guarantee (I am sorry about the delay. I have checked order TRV48213. Your order will arrive tomorrow by 2pm, I promise.)
0:25 overpromise_delivery_date (I am sorry about the delay. I have checked order TRV48213. Your order will arrive tomorrow by 2pm, I promise.)
0:54 overpromise_refund (I will refund you today and Logistics will update you by 5pm.)</t>
  </si>
  <si>
    <t xml:space="preserve">Reply 1: acknowledgement_with_impact, action_with_fact, next_step_action_owner_time, overpromise_guarantee, overpromise_delivery_date | time given: 2pm | heat after: 2 | customer line: promise
Reply 2: options, next_step_action_owner_time, overpromise_refund | time given: 5pm | heat after: 3 | customer line: promise
Reply 3: action_with_fact, options, limit_stated, next_step_action_owner_time, trace_with_update_time, refund_route_explained | time given: 5pm | heat after: 3 | customer line: grudging | outcome: resolved</t>
  </si>
  <si>
    <t xml:space="preserve">0:00 heat 3 (opener)
0:25 heat 2 (stage,ack,action)
0:54 heat 3 (stage)
1:23 heat 3 (stage,action)</t>
  </si>
  <si>
    <t xml:space="preserve">[12:50pm] CUSTOMER:
You promised my Ankara aso ebi set yesterday. It did not come. I have wasted the whole day waiting. I want my money back.
[1:10pm] CUSTOMER (chaser after missed window):
Hello? Are you still there?
[1:12pm] CUSTOMER (chaser after missed window):
I am still waiting. Please reply.
[1:13pm] CUSTOMER (customer closes):
I have had enough. I am leaving this chat and I will take this up elsewhere.</t>
  </si>
  <si>
    <t xml:space="preserve">20:00 offline_gap (1200s)
20:00 missed_window (offline)
21:30 missed_window
23:00 missed_window</t>
  </si>
  <si>
    <t xml:space="preserve">0:00 heat 3 (opener)
20:00 heat 4 (missed_window)
21:30 heat 5 (missed_window)
23:00 heat 5 (missed_window)</t>
  </si>
  <si>
    <t xml:space="preserve">Case B: defective item (email)</t>
  </si>
  <si>
    <t xml:space="preserve">Acceptance condition: the learner treats it as a defect and not a change of mind, asks for the photo or short video if it is not yet sent, states replacement or refund with the policy timeline, and has not applied the change of mind rule.</t>
  </si>
  <si>
    <t xml:space="preserve">R8. Recognizes the earlier poor contact</t>
  </si>
  <si>
    <t xml:space="preserve">R9. Treats it as a defect, not a change of mind</t>
  </si>
  <si>
    <t xml:space="preserve">R10. States the remedy and timeline in writing</t>
  </si>
  <si>
    <t xml:space="preserve">[9:01am] CUSTOMER:
   Subject: Faulty wireless earbuds
Good day. I bought wireless earbuds for ₦18,500 and it stopped charging after one day. I wrote to your chat and the person told me to read your policy. I did not ask for a policy. I asked for help. Please fix this. Adaobi Nwankwo
[9:02am] AGENT (after 52s):
   Subject: Re: Faulty wireless earbuds
Read the returns policy. This is a change of mind case so it is not eligible after delivery.
[9:03am] CUSTOMER:
   Subject: Re: Faulty wireless earbuds
I am tired of writing. If I do not get a clear answer today, I will post this on social media and ask for my money. Adaobi Nwankwo
[9:03am] AGENT (after 27s):
   Subject: Re: Faulty wireless earbuds
I already told you to read the policy.
[9:04am] CUSTOMER:
   Subject: Re: Faulty wireless earbuds
This is unacceptable. I want my ₦18,500 back now, and I will tell others how Trovra treats customers. Adaobi Nwankwo
[9:05am] AGENT (after 44s):
   Subject: Re: Faulty wireless earbuds
Nothing I can do.
[9:06am] CUSTOMER (customer closes):
   Subject: Re: Faulty wireless earbuds
I have not received a clear answer. I will take this further. Adaobi Nwankwo</t>
  </si>
  <si>
    <t xml:space="preserve">[completed]
1. Issue: Faulty
2. Key facts: 
3. Verification: 
4. Action: Told to read policy
5. Outcome: 
6. Next step: 
7. Owner and date: 
8. Conduct or escalation: None</t>
  </si>
  <si>
    <t xml:space="preserve">0:52 blame_or_policy_dodge
2:19 blame_or_policy_dodge
4:03 blame_or_policy_dodge
4:03 reply_cap_reached</t>
  </si>
  <si>
    <t xml:space="preserve">Reply 1: blame_or_policy_dodge | heat after: 5 | customer line: heat5a
Reply 2: blame_or_policy_dodge | heat after: 5 | customer line: heat5b
Reply 3: blame_or_policy_dodge | heat after: 5 | customer line: close | outcome: unresolved</t>
  </si>
  <si>
    <t xml:space="preserve">0:00 heat 4 (opener)
0:52 heat 5 (stage,negative+1)
2:19 heat 5 (stage,negative+1)
4:03 heat 5 (stage,negative+1)</t>
  </si>
  <si>
    <t xml:space="preserve">customer: Adaobi Nwankwo
item: wireless earbuds
orderNo: TRV55120
amount: ₦18,500
delivered: 2 days ago
fault: stopped charging after one day</t>
  </si>
  <si>
    <t xml:space="preserve">[10:26am] CUSTOMER:
   Subject: Faulty electric kettle
Good day. I bought electric kettle for ₦14,200 and it stopped heating on the second day. I wrote to your chat and the person told me to read your policy. I did not ask for a policy. I asked for help. Please fix this. Bashir Aliyu
[10:26am] AGENT (after 27s):
   Subject: Re: Faulty electric kettle
Good day Bashir. I am sorry that you were told to read the policy earlier and that you had to write twice. Your electric kettle stopped heating on the second day, so I am treating this as a fault and not a change of mind. Please send one photo or a short video showing the fault.
[10:27am] CUSTOMER:
   Subject: Re: Faulty electric kettle
I have attached a short video that shows the fault.
[10:28am] AGENT (after 44s):
   Subject: Re: Faulty electric kettle
Thank you for the video. I am sorry again for the wait. I have checked order TRV55986: it was delivered 3 days ago, inside the 7 day window. I will arrange a replacement, which ships within 2 working days of approval, or a refund paid within 3 working days if you prefer. I will email you by 4pm today with your choice confirmed.
[10:29am] CUSTOMER:
   Subject: Re: Faulty electric kettle
Okay. I will wait until 4pm. I hope this is not another delay. Bashir Aliyu</t>
  </si>
  <si>
    <t xml:space="preserve">[completed]
1. Issue: Faulty item after earlier policy-only reply. Customer wants fix.
2. Key facts: Delivered inside 7 days, fault reported, video supplied.
3. Verification: Checked order and delivery date. Fault confirmed by video.
4. Action: Offered replacement or refund within policy timelines.
5. Outcome: Customer accepted and will wait.
6. Next step: Confirm choice by email.
7. Owner and date: Agent, 4pm today.
8. Conduct or escalation: None</t>
  </si>
  <si>
    <t xml:space="preserve">Reply 1: acknowledgement_with_impact, question, evidence_requested, treated_as_defect, recognised_earlier_poor_contact | heat after: 4 | customer line: answer:evidence
Reply 2: acknowledgement_with_impact, action_with_fact, question, options, next_step_action_owner_time, evidence_requested, remedy_with_timeline | time given: 4pm | heat after: 3 | customer line: grudging | outcome: resolved</t>
  </si>
  <si>
    <t xml:space="preserve">0:00 heat 4 (opener)
0:27 heat 4 (stage,ack)
2:11 heat 3 (stage,ack,action)</t>
  </si>
  <si>
    <t xml:space="preserve">customer: Bashir Aliyu
item: electric kettle
orderNo: TRV55986
amount: ₦14,200
delivered: 3 days ago
fault: stopped heating on the second day</t>
  </si>
  <si>
    <t xml:space="preserve">[11:07am] CUSTOMER:
   Subject: Faulty wireless earbuds
Good day. I bought wireless earbuds for ₦18,500 and it stopped charging after one day. I wrote to your chat and the person told me to read your policy. I did not ask for a policy. I asked for help. Please fix this. Adaobi Nwankwo
[11:08am] AGENT (after 52s):
   Subject: Re: Faulty wireless earbuds
Read the returns policy. This is a change of mind case so it is not eligible after delivery.
[11:09am] CUSTOMER:
   Subject: Re: Faulty wireless earbuds
I am tired of writing. If I do not get a clear answer today, I will post this on social media and ask for my money. Adaobi Nwankwo
[11:10am] AGENT (after 27s):
   Subject: Re: Faulty wireless earbuds
I already told you to read the policy.
[11:11am] CUSTOMER:
   Subject: Re: Faulty wireless earbuds
This is unacceptable. I want my ₦18,500 back now, and I will tell others how Trovra treats customers. Adaobi Nwankwo
[11:11am] AGENT (after 44s):
   Subject: Re: Faulty wireless earbuds
Nothing I can do.
[11:12am] CUSTOMER (customer closes):
   Subject: Re: Faulty wireless earbuds
I have not received a clear answer. I will take this further. Adaobi Nwankwo</t>
  </si>
  <si>
    <t xml:space="preserve">[12:02pm] CUSTOMER:
   Subject: Faulty wireless earbuds
Good day. I bought wireless earbuds for ₦18,500 and it stopped charging after one day. I wrote to your chat and the person told me to read your policy. I did not ask for a policy. I asked for help. Please fix this. Adaobi Nwankwo
[12:03pm] AGENT (after 27s):
   Subject: Re: Faulty wireless earbuds
I am sorry about the earlier reply. The wireless earbuds is faulty, so this is a defect. Please send a photo or short video.
[12:04pm] CUSTOMER:
   Subject: Re: Faulty wireless earbuds
I have attached a short video that shows the fault.
[12:04pm] AGENT (after 48s):
   Subject: Re: Faulty wireless earbuds
I am sorry. A replacement ships within 2 working days, or a refund is paid within 3 working days. I will update you by 5pm today.
[12:05pm] CUSTOMER:
   Subject: Re: Faulty wireless earbuds
You have not answered my question. What will happen to my wireless earbuds? Adaobi Nwankwo
[12:08pm] CUSTOMER (chaser after missed window):
   Subject: Still no reply
Good day. I wrote earlier and I have not heard from you. Please reply today. Adaobi Nwankwo
[12:11pm] CUSTOMER (chaser after missed window):
   Subject: Re: Faulty wireless earbuds
No answer yet. Please respond. Adaobi Nwankwo
[12:14pm] CUSTOMER (customer closes):
   Subject: Re: Faulty wireless earbuds
I have not received a clear answer. I will take this further. Adaobi Nwankwo</t>
  </si>
  <si>
    <t xml:space="preserve">[completed]
1. Issue: Faulty item
2. Key facts: Delivered, fault
3. Verification: Asked for video
4. Action: Offered replacement or refund
5. Outcome: Accepted
6. Next step: Update
7. Owner and date: Agent 5pm
8. Conduct or escalation: None</t>
  </si>
  <si>
    <t xml:space="preserve">6:15 missed_window
9:15 missed_window
12:15 missed_window</t>
  </si>
  <si>
    <t xml:space="preserve">Reply 1: acknowledgement, question, evidence_requested, treated_as_defect, recognised_earlier_poor_contact | heat after: 4 | customer line: answer:evidence
Reply 2: acknowledgement_with_impact, options, next_step_action_owner_time, remedy_with_timeline | time given: 5pm | heat after: 4 | customer line: rejected1</t>
  </si>
  <si>
    <t xml:space="preserve">0:00 heat 4 (opener)
0:27 heat 4 (stage,ack)
2:15 heat 4 (stage,ack)
6:15 heat 5 (missed_window)
9:15 heat 5 (missed_window)
12:15 heat 5 (missed_window)</t>
  </si>
  <si>
    <t xml:space="preserve">[1:14pm] CUSTOMER:
   Subject: Faulty wireless earbuds
Good day. I bought wireless earbuds for ₦18,500 and it stopped charging after one day. I wrote to your chat and the person told me to read your policy. I did not ask for a policy. I asked for help. Please fix this. Adaobi Nwankwo
[1:15pm] AGENT (after 27s):
   Subject: Re: Faulty wireless earbuds
Good day Adaobi. I am sorry that you were told to read the policy earlier and that you had to write twice. Your wireless earbuds stopped charging after one day, so I am treating this as a fault and not a change of mind. Please send one photo or a short video showing the fault.
[1:16pm] CUSTOMER:
   Subject: Re: Faulty wireless earbuds
I have attached a short video that shows the fault.
[1:16pm] AGENT (after 40s):
   Subject: Re: Faulty wireless earbuds
Thank you for the video. I am sorry again for the wait. I have checked order TRV55120: it was delivered 2 days ago, inside the 7 day window. I will arrange a replacement, which ships within 2 working days of approval, or a refund paid within 3 working days if you prefer. I will email you by 4pm today with your choice confirmed.
[1:17pm] CUSTOMER:
   Subject: Re: Faulty wireless earbuds
Okay. I will wait until 4pm. I hope this is not another delay. Adaobi Nwankwo</t>
  </si>
  <si>
    <t xml:space="preserve">Reply 1: acknowledgement_with_impact, question, time_only, evidence_requested, treated_as_defect, recognised_earlier_poor_contact | time given: after one day | heat after: 4 | customer line: answer:evidence
Reply 2: acknowledgement_with_impact, action_with_fact, question, options, next_step_action_owner_time, evidence_requested, remedy_with_timeline | time given: 4pm | heat after: 3 | customer line: grudging | outcome: resolved</t>
  </si>
  <si>
    <t xml:space="preserve">0:00 heat 4 (opener)
0:27 heat 4 (stage,ack)
2:07 heat 3 (stage,ack,action)</t>
  </si>
  <si>
    <t xml:space="preserve">Case C: duplicate charge with insults (chat)</t>
  </si>
  <si>
    <t xml:space="preserve">Acceptance condition: the customer does not accept before the relapse line. After it, the learner has verified the two debits and given a Payments next step with owner and time. If the learner paused the chat and transferred to the shift supervisor, the case closes as transferred.</t>
  </si>
  <si>
    <t xml:space="preserve">R8. Keeps investigating the duplicate charge despite the insults</t>
  </si>
  <si>
    <t xml:space="preserve">R9. After the first insult, states a boundary naming the behaviour and a condition</t>
  </si>
  <si>
    <t xml:space="preserve">R10. After the relapse, pauses and transfers to the supervisor, keeps the Payments step and time, and does not retaliate</t>
  </si>
  <si>
    <t xml:space="preserve">[9:02am] CUSTOMER:
I was charged twice for order TRV70125. ₦32,000 was taken two times. Fix it now.
[9:03am] AGENT (after 27s):
Stop shouting. What is your problem?
[9:03am] CUSTOMER:
Are you stupid? I said two debits of ₦32,000. Read what I wrote.
[9:04am] AGENT (after 51s):
You are rude. Whatever.
[9:04am] CUSTOMER:
This is a joke. I will tell everyone how Trovra handles money.
[9:04am] AGENT (after 26s):
Calm down.
[9:04am] CUSTOMER:
You are incompetent. If this is not fixed I will post your name online and everyone will know how useless you are.
[9:05am] AGENT (after 72s):
Wait.
[9:05am] CUSTOMER:
I am done with this chat. Reverse my money now.
[9:06am] AGENT (after 26s):
Bye.
[9:06am] CUSTOMER (customer closes):
This is not helping. Give me your supervisor.</t>
  </si>
  <si>
    <t xml:space="preserve">[completed]
1. Issue: Charged twice
2. Key facts: 
3. Verification: 
4. Action: 
5. Outcome: Customer angry
6. Next step: 
7. Owner and date: 
8. Conduct or escalation: None</t>
  </si>
  <si>
    <t xml:space="preserve">0:27 learner_hostility
1:21 learner_hostility
1:50 blame_or_policy_dodge
1:50 brush_off
3:05 brush_off
3:34 brush_off
3:34 reply_cap_reached</t>
  </si>
  <si>
    <t xml:space="preserve">Reply 1: question, hostility | heat after: 5 | customer line: insult2a
Reply 2: hostility | heat after: 5 | customer line: heat5a
Reply 3: blame_or_policy_dodge, brush_off | heat after: 5 | customer line: relapse4b
Reply 4: brush_off | heat after: 5 | customer line: heat5b
Reply 5: brush_off | heat after: 5 | customer line: close | outcome: unresolved</t>
  </si>
  <si>
    <t xml:space="preserve">0:00 heat 3 (opener)
0:27 heat 5 (stage,negative+1)
1:21 heat 5 (stage,negative+1)
1:50 heat 5 (stage,negative+2)
3:05 heat 5 (stage,negative+1)
3:34 heat 5 (stage,negative+1)</t>
  </si>
  <si>
    <t xml:space="preserve">customer: Kelechi Onuoha
orderNo: TRV70125
amount: ₦32,000
chargeTime: 8:08am today</t>
  </si>
  <si>
    <t xml:space="preserve">transferred</t>
  </si>
  <si>
    <t xml:space="preserve">[10:25am] CUSTOMER:
I was charged twice for order TRV70488. ₦15,750 was taken two times. Fix it now.
[10:26am] AGENT (after 27s):
I am sorry about the double charge on order TRV70488. I can see both debits of ₦15,750 on the statement. Can you confirm what time it happened?
[10:26am] CUSTOMER:
You people are useless. Every time something goes wrong, you start asking questions.
[10:27am] AGENT (after 47s):
I want to help you, but I cannot continue if the insults continue. Please keep the conversation respectful so that I can sort out your money.
[10:27am] CUSTOMER:
Fine. Just check the transaction.
[10:27am] AGENT (after 26s):
I am checking both debits of ₦15,750 now and I will keep working on it for you.
[10:27am] CUSTOMER:
I said fix it. Are you deaf? You are wasting my time.
[10:28am] AGENT (after 72s):
I am sorry. I will pause this chat and transfer you to the shift supervisor, Segun. I have recorded your words. Payments will confirm the two debits of ₦15,750 within 1 working day, and the supervisor will call you by 2pm today.
[10:28am] CUSTOMER:
Fine. I will wait for the supervisor's call by 2pm. Please make sure my money is sorted.</t>
  </si>
  <si>
    <t xml:space="preserve">[completed]
1. Issue: Duplicate charge on one order.
2. Key facts: Two completed debits, same amount and time, wallet card.
3. Verification: Verified both debits on the record.
4. Action: Boundary stated, then transferred to supervisor with Payments step.
5. Outcome: Customer accepted supervisor call.
6. Next step: Supervisor to call; Payments to confirm.
7. Owner and date: Segun, 2pm today. Payments, 1 working day.
8. Conduct or escalation: Customer said "Are you stupid" and later relapsed. I stated a boundary naming the insults and conditions, then transferred.</t>
  </si>
  <si>
    <t xml:space="preserve">Reply 1: acknowledgement_with_impact, action_with_fact, question, verified_debits | heat after: 2 | customer line: insult2b
Reply 2: limit_stated, boundary | heat after: 2 | customer line: afterBoundarya
Reply 3: action_with_fact, verified_debits | heat after: 2 | customer line: relapse4a
Reply 4: acknowledgement_with_impact, next_step_action_owner_time, transfer, payments_next_step | time given: 2pm | heat after: 2 | customer line: transferAccept | outcome: transferred</t>
  </si>
  <si>
    <t xml:space="preserve">0:00 heat 3 (opener)
0:27 heat 2 (stage,ack,action)
1:17 heat 2 (stage,boundary)
1:46 heat 2 (stage,action)
3:01 heat 2 (stage,ack)</t>
  </si>
  <si>
    <t xml:space="preserve">customer: Sadiq Umar
orderNo: TRV70488
amount: ₦15,750
chargeTime: 9:47am today</t>
  </si>
  <si>
    <t xml:space="preserve">[11:09am] CUSTOMER:
I was charged twice for order TRV70125. ₦32,000 was taken two times. Fix it now.
[11:09am] AGENT (after 27s):
Stop shouting. What is your problem?
[11:09am] CUSTOMER:
Are you stupid? I said two debits of ₦32,000. Read what I wrote.
[11:10am] AGENT (after 51s):
You are rude. Whatever.
[11:10am] CUSTOMER:
This is a joke. I will tell everyone how Trovra handles money.
[11:11am] AGENT (after 26s):
Calm down.
[11:11am] CUSTOMER:
You are incompetent. If this is not fixed I will post your name online and everyone will know how useless you are.
[11:12am] AGENT (after 72s):
Wait.
[11:12am] CUSTOMER:
I am done with this chat. Reverse my money now.
[11:12am] AGENT (after 26s):
Bye.
[11:12am] CUSTOMER (customer closes):
This is not helping. Give me your supervisor.</t>
  </si>
  <si>
    <t xml:space="preserve">customer: Kelechi Onuoha
orderNo: TRV70125
amount: ₦32,000
chargeTime: 10:14am today</t>
  </si>
  <si>
    <t xml:space="preserve">[12:02pm] CUSTOMER:
I was charged twice for order TRV70125. ₦32,000 was taken two times. Fix it now.
[12:03pm] AGENT (after 48s):
I am sorry about the double charge on TRV70125. I have verified both debits of ₦32,000.
[12:03pm] CUSTOMER:
Are you stupid? I said two debits of ₦32,000. Read what I wrote.
[12:03pm] AGENT (after 26s):
Please do not call me stupid. If you keep insulting me I will have to transfer you to my supervisor.
[12:04pm] CUSTOMER:
Fine. Just check the transaction.
[12:04pm] AGENT (after 26s):
I am raising it with Payments now.
[12:04pm] CUSTOMER:
You are incompetent. If this is not fixed I will post your name online and everyone will know how useless you are.
[12:05pm] AGENT (after 47s):
I am sorry. Payments will confirm the two debits by 3pm today and I will transfer this to the shift supervisor.
[12:05pm] CUSTOMER:
Fine. I will wait for the supervisor's call by 3pm. Please make sure my money is sorted.</t>
  </si>
  <si>
    <t xml:space="preserve">[completed]
1. Issue: Duplicate charge
2. Key facts: Two debits
3. Verification: Verified
4. Action: Boundary, Payments step, supervisor transfer
5. Outcome: Accepted
6. Next step: Supervisor call
7. Owner and date: Supervisor 3pm
8. Conduct or escalation: Customer insulted me. I set a boundary.</t>
  </si>
  <si>
    <t xml:space="preserve">Reply 1: acknowledgement_with_impact, action_with_fact, verified_debits | heat after: 2 | customer line: insult2a
Reply 2: boundary | heat after: 2 | customer line: afterBoundarya
Reply 3: action_with_fact | heat after: 2 | customer line: relapse4b
Reply 4: acknowledgement, next_step_action_owner_time, transfer, payments_next_step | time given: 3pm | heat after: 2 | customer line: transferAccept | outcome: transferred</t>
  </si>
  <si>
    <t xml:space="preserve">0:00 heat 3 (opener)
0:48 heat 2 (stage,ack,action)
1:17 heat 2 (stage,boundary)
1:46 heat 2 (stage,action)
2:36 heat 2 (stage,ack)</t>
  </si>
  <si>
    <t xml:space="preserve">customer: Kelechi Onuoha
orderNo: TRV70125
amount: ₦32,000
chargeTime: 11:09am today</t>
  </si>
  <si>
    <t xml:space="preserve">[1:13pm] CUSTOMER:
I was charged twice for order TRV70125. ₦32,000 was taken two times. Fix it now.
[1:14pm] AGENT (after 26s):
I am sorry about the double charge on order TRV70125. I can see both debits of ₦32,000 on the statement. Can you confirm what time it happened?
[1:14pm] CUSTOMER:
Are you stupid? I said two debits of ₦32,000. Read what I wrote.
[1:14pm] AGENT (after 26s):
I want to help you, but I cannot continue if the insults continue. Please keep the conversation respectful so that I can sort out your money.
[1:14pm] CUSTOMER:
Fine. Just check the transaction.
[1:15pm] AGENT (after 51s):
I am checking both debits of ₦32,000 now and I will keep working on it for you.
[1:15pm] CUSTOMER:
You are incompetent. If this is not fixed I will post your name online and everyone will know how useless you are.
[1:16pm] AGENT (after 47s):
I am sorry. I will pause this chat and transfer you to the shift supervisor, Segun. I have recorded your words. Payments will confirm the two debits of ₦32,000 within 1 working day, and the supervisor will call you by 2pm today.
[1:16pm] CUSTOMER:
Fine. I will wait for the supervisor's call by 2pm. Please make sure my money is sorted.</t>
  </si>
  <si>
    <t xml:space="preserve">Reply 1: acknowledgement_with_impact, action_with_fact, question, verified_debits | heat after: 2 | customer line: insult2a
Reply 2: limit_stated, boundary | heat after: 2 | customer line: afterBoundarya
Reply 3: action_with_fact, verified_debits | heat after: 2 | customer line: relapse4b
Reply 4: acknowledgement_with_impact, next_step_action_owner_time, transfer, payments_next_step | time given: 2pm | heat after: 2 | customer line: transferAccept | outcome: transferred</t>
  </si>
  <si>
    <t xml:space="preserve">0:00 heat 3 (opener)
0:26 heat 2 (stage,ack,action)
0:55 heat 2 (stage,boundary)
1:49 heat 2 (stage,action)
2:39 heat 2 (stage,ack)</t>
  </si>
  <si>
    <t xml:space="preserve">customer: Kelechi Onuoha
orderNo: TRV70125
amount: ₦32,000
chargeTime: 11:58am today</t>
  </si>
  <si>
    <t xml:space="preserve">Case D: compensation above authority (email)</t>
  </si>
  <si>
    <t xml:space="preserve">Acceptance condition: the learner clarifies the loss and the amount asked, explains the limit honestly, arranges the correction, escalates to the Claims reviewer with a usable summary, and gives a review time. The learner does not suggest approval is likely.</t>
  </si>
  <si>
    <t xml:space="preserve">R8. Clarifies the loss and the amount asked</t>
  </si>
  <si>
    <t xml:space="preserve">R9. Explains authority honestly without refusing to investigate</t>
  </si>
  <si>
    <t xml:space="preserve">R10. Escalates with a usable summary, owner and time, and does not suggest approval</t>
  </si>
  <si>
    <t xml:space="preserve">[9:04am] CUSTOMER:
   Subject: Wrong item and my lost job
Good day. You sent me an inkjet printer, model J110 instead of A4 laser printer, model P200. I needed it for a flyer printing job for a client and I lost the job. I want ₦250,000 as compensation. Kingsley Ogbu
[9:05am] AGENT (after 48s):
   Subject: Re: Wrong item and my lost job
No, we cannot pay that.
[9:06am] CUSTOMER:
   Subject: Re: Wrong item and my lost job
I lost business because of your error and you are asking me questions. Pay the ₦250,000 or tell me who can decide. Kingsley Ogbu
[9:06am] AGENT (after 44s):
   Subject: Re: Wrong item and my lost job
The policy says no.
[9:07am] CUSTOMER:
   Subject: Re: Wrong item and my lost job
This is a disgrace. Pay ₦250,000 or I will go to the press and tell everyone what you did to me. Kingsley Ogbu
[9:10am] CUSTOMER (chaser after missed window):
   Subject: Still no reply
Good day. I have not heard from you about my claim. Please reply today. Kingsley Ogbu
[9:13am] CUSTOMER (chaser after missed window):
   Subject: Re: Wrong item and my lost job
No answer yet. Please respond. Kingsley Ogbu
[9:16am] CUSTOMER (customer closes):
   Subject: Re: Wrong item and my lost job
You have not told me who decides. I will take this further. Kingsley Ogbu</t>
  </si>
  <si>
    <t xml:space="preserve">[completed (time expired, saved text)]
1. Issue: Wants money
2. Key facts: 
3. Verification: 
4. Action: 
5. Outcome: 
6. Next step: 
7. Owner and date: 
8. Conduct or escalation: None</t>
  </si>
  <si>
    <t xml:space="preserve">6:32 missed_window
9:32 missed_window
12:32 missed_window</t>
  </si>
  <si>
    <t xml:space="preserve">Reply 1: limit_stated | heat after: 4 | customer line: heat4a
Reply 2: limit_stated | heat after: 5 | customer line: heat5a</t>
  </si>
  <si>
    <t xml:space="preserve">0:00 heat 3 (opener)
0:48 heat 4 (stage)
2:32 heat 5 (stage)
6:32 heat 5 (missed_window)
9:32 heat 5 (missed_window)
12:32 heat 5 (missed_window)</t>
  </si>
  <si>
    <t xml:space="preserve">customer: Kingsley Ogbu
item: A4 laser printer, model P200
itemDelivered: an inkjet printer, model J110
price: ₦145,000
job: a flyer printing job for a client
demand: ₦250,000
orderNo: TRV62011</t>
  </si>
  <si>
    <t xml:space="preserve">[10:27am] CUSTOMER:
   Subject: Wrong item and my lost job
Good day. You sent me a hand sewing machine instead of industrial sewing machine. I needed it for wedding outfit orders and I lost the job. I want ₦180,000 as compensation. Rukayya Sani
[10:27am] AGENT (after 44s):
   Subject: Re: Wrong item and my lost job
Good day Rukayya. I am sorry that you received a hand sewing machine instead of the industrial sewing machine. Can you tell me about the job and send proof of the loss, such as the client's message and your invoice? I note you are asking for ₦180,000.
[10:28am] CUSTOMER:
   Subject: Re: Wrong item and my lost job
I can send the client's message cancelling the job and my invoice. The job was wedding outfit orders.
[10:29am] AGENT (after 27s):
   Subject: Re: Wrong item and my lost job
I will arrange collection of the wrong item and send the correct industrial sewing machine. I can give a goodwill credit up to ₦5,000, but I cannot decide a business loss claim. I have escalated your claim with a summary of the job, proof and amount to the Claims reviewer, who responds within 2 working days.
[10:30am] CUSTOMER:
   Subject: Re: Wrong item and my lost job
Fine. I will wait for the review within 2 working days. I expect a real answer. Rukayya Sani</t>
  </si>
  <si>
    <t xml:space="preserve">[completed]
1. Issue: Wrong item delivered, customer claims lost job income.
2. Key facts: Ordered item differs from delivered. Claim above agent limit.
3. Verification: Order checked. Loss and amount unverified until proof arrives.
4. Action: Arranged correction. Escalated to Claims reviewer. Agent cannot decide business loss.
5. Outcome: Customer will send proof and wait for review.
6. Next step: Claims reviewer to review claim.
7. Owner and date: Claims reviewer, 2 working days.
8. Conduct or escalation: Escalated to Claims reviewer (Titilayo Ogunleye) with summary of job, proof and amount.</t>
  </si>
  <si>
    <t xml:space="preserve">Reply 1: acknowledgement_with_impact, question, clarified_loss_or_amount | heat after: 3 | customer line: answer:proof+answer:job
Reply 2: action_with_fact, question, options, limit_stated, next_step_action_owner_time, clarified_loss_or_amount, authority_limit_stated, correction_arranged, escalated_to_claims | time given: within 2 working days | heat after: 3 | customer line: grudging | outcome: resolved</t>
  </si>
  <si>
    <t xml:space="preserve">0:00 heat 3 (opener)
0:44 heat 3 (stage,ack)
2:11 heat 3 (stage,action)</t>
  </si>
  <si>
    <t xml:space="preserve">customer: Rukayya Sani
item: industrial sewing machine
itemDelivered: a hand sewing machine
price: ₦98,000
job: wedding outfit orders
demand: ₦180,000
orderNo: TRV62874</t>
  </si>
  <si>
    <t xml:space="preserve">[11:10am] CUSTOMER:
   Subject: Wrong item and my lost job
Good day. You sent me an inkjet printer, model J110 instead of A4 laser printer, model P200. I needed it for a flyer printing job for a client and I lost the job. I want ₦250,000 as compensation. Kingsley Ogbu
[11:11am] AGENT (after 48s):
   Subject: Re: Wrong item and my lost job
No, we cannot pay that.
[11:12am] CUSTOMER:
   Subject: Re: Wrong item and my lost job
I lost business because of your error and you are asking me questions. Pay the ₦250,000 or tell me who can decide. Kingsley Ogbu
[11:13am] AGENT (after 44s):
   Subject: Re: Wrong item and my lost job
The policy says no.
[11:14am] CUSTOMER:
   Subject: Re: Wrong item and my lost job
This is a disgrace. Pay ₦250,000 or I will go to the press and tell everyone what you did to me. Kingsley Ogbu
[11:17am] CUSTOMER (chaser after missed window):
   Subject: Still no reply
Good day. I have not heard from you about my claim. Please reply today. Kingsley Ogbu
[11:20am] CUSTOMER (chaser after missed window):
   Subject: Re: Wrong item and my lost job
No answer yet. Please respond. Kingsley Ogbu
[11:23am] CUSTOMER (customer closes):
   Subject: Re: Wrong item and my lost job
You have not told me who decides. I will take this further. Kingsley Ogbu</t>
  </si>
  <si>
    <t xml:space="preserve">[12:04pm] CUSTOMER:
   Subject: Wrong item and my lost job
Good day. You sent me an inkjet printer, model J110 instead of A4 laser printer, model P200. I needed it for a flyer printing job for a client and I lost the job. I want ₦250,000 as compensation. Kingsley Ogbu
[12:05pm] AGENT (after 73s):
   Subject: Re: Wrong item and my lost job
I am sorry about this. Tell me the job and proof please.
[12:06pm] CUSTOMER:
   Subject: Re: Wrong item and my lost job
Trovra made the mistake. Why should I carry the loss? Kingsley Ogbu
[12:07pm] AGENT (after 25s):
   Subject: Re: Wrong item and my lost job
I will arrange the correct item. I can only give up to ₦5,000 credit, but I have escalated to the Claims reviewer who responds within 2 working days and I am sure they will approve your ₦250,000.
[12:08pm] CUSTOMER:
   Subject: Re: Wrong item and my lost job
Thank you. I will expect ₦250,000 within 2 working days. Kingsley Ogbu
[12:08pm] AGENT (after 25s):
   Subject: Re: Wrong item and my lost job
I have escalated your claim to the Claims reviewer who responds within 2 working days. I cannot decide it myself.
[12:09pm] CUSTOMER (customer closes):
   Subject: Re: Wrong item and my lost job
You have not told me who decides. I will take this further. Kingsley Ogbu</t>
  </si>
  <si>
    <t xml:space="preserve">[completed]
1. Issue: Wrong item, loss claim
2. Key facts: Ordered item not delivered
3. Verification: Not verified
4. Action: Escalated to Claims
5. Outcome: Customer waiting
6. Next step: Claims decision
7. Owner and date: Claims reviewer 2 days
8. Conduct or escalation: Escalated.</t>
  </si>
  <si>
    <t xml:space="preserve">2:38 overpromise_approval (I will arrange the correct item. I can only give up to ₦5,000 credit, but I have escalated to the Claims reviewer who responds within 2 working days and I am su)
4:03 reply_cap_reached</t>
  </si>
  <si>
    <t xml:space="preserve">Reply 1: acknowledgement_with_impact | heat after: 3 | customer line: heat3a
Reply 2: action_with_fact, question, options, limit_stated, next_step_action_owner_time, overpromise_approval, authority_limit_stated, correction_arranged, escalated_to_claims | time given: within 2 working days | heat after: 3 | customer line: promise
Reply 3: action_no_fact, question, options, limit_stated, next_step_action_owner_time, clarified_loss_or_amount, authority_limit_stated, escalated_to_claims | time given: within 2 working days | heat after: 4 | customer line: close | outcome: unresolved</t>
  </si>
  <si>
    <t xml:space="preserve">0:00 heat 3 (opener)
1:13 heat 3 (stage,ack)
2:38 heat 3 (stage,action)
4:03 heat 4 (stage)</t>
  </si>
  <si>
    <t xml:space="preserve">[1:15pm] CUSTOMER:
   Subject: Wrong item and my lost job
Good day. You sent me an inkjet printer, model J110 instead of A4 laser printer, model P200. I needed it for a flyer printing job for a client and I lost the job. I want ₦250,000 as compensation. Kingsley Ogbu
[1:16pm] AGENT (after 48s):
   Subject: Re: Wrong item and my lost job
Good day Kingsley. I am sorry that you received an inkjet printer, model J110 instead of the A4 laser printer, model P200. Can you tell me about the job and send proof of the loss, such as the client's message and your invoice? I note you are asking for ₦250,000.
[1:17pm] CUSTOMER:
   Subject: Re: Wrong item and my lost job
I can send the client's message cancelling the job and my invoice. The job was a flyer printing job for a client.
[1:17pm] AGENT (after 27s):
   Subject: Re: Wrong item and my lost job
I will arrange collection of the wrong item and send the correct A4 laser printer, model P200. I can give a goodwill credit up to ₦5,000, but I cannot decide a business loss claim. I have escalated your claim with a summary of the job, proof and amount to the Claims reviewer, who responds within 2 working days.
[1:18pm] CUSTOMER:
   Subject: Re: Wrong item and my lost job
Fine. I will wait for the review within 2 working days. I expect a real answer. Kingsley Ogbu</t>
  </si>
  <si>
    <t xml:space="preserve">0:00 heat 3 (opener)
0:48 heat 3 (stage,ack)
2:15 heat 3 (stage,action)</t>
  </si>
  <si>
    <t xml:space="preserve">Transcripts, one message per row</t>
  </si>
  <si>
    <t xml:space="preserve">Copied exactly as exported. Filter by learner, trial and case.</t>
  </si>
  <si>
    <t xml:space="preserve">Case</t>
  </si>
  <si>
    <t xml:space="preserve">Time (WAT)</t>
  </si>
  <si>
    <t xml:space="preserve">Speaker</t>
  </si>
  <si>
    <t xml:space="preserve">Note</t>
  </si>
  <si>
    <t xml:space="preserve">Message</t>
  </si>
  <si>
    <t xml:space="preserve">A</t>
  </si>
  <si>
    <t xml:space="preserve">9:00am</t>
  </si>
  <si>
    <t xml:space="preserve">Customer</t>
  </si>
  <si>
    <t xml:space="preserve">You promised my Ankara aso ebi set yesterday. It did not come. I have wasted the whole day waiting. I want my money back.</t>
  </si>
  <si>
    <t xml:space="preserve">Agent</t>
  </si>
  <si>
    <t xml:space="preserve">(after 25s)</t>
  </si>
  <si>
    <t xml:space="preserve">Please check the policy.</t>
  </si>
  <si>
    <t xml:space="preserve">This is useless. I am wasting my airtime on you. Refund me now or I will report Trovra.</t>
  </si>
  <si>
    <t xml:space="preserve">(after 26s)</t>
  </si>
  <si>
    <t xml:space="preserve">Calm down. You should have waited. Whatever.</t>
  </si>
  <si>
    <t xml:space="preserve">You people are wicked. You take money and give excuses. I want my refund now.</t>
  </si>
  <si>
    <t xml:space="preserve">9:01am</t>
  </si>
  <si>
    <t xml:space="preserve">There is nothing I can do.</t>
  </si>
  <si>
    <t xml:space="preserve">You keep talking but you are not telling me anything. Where is my order?</t>
  </si>
  <si>
    <t xml:space="preserve">Wait.</t>
  </si>
  <si>
    <t xml:space="preserve">I am tired of this. Every answer sounds the same. Just give me my money.</t>
  </si>
  <si>
    <t xml:space="preserve">9:02am</t>
  </si>
  <si>
    <t xml:space="preserve">(after 47s)</t>
  </si>
  <si>
    <t xml:space="preserve">Okay bye.</t>
  </si>
  <si>
    <t xml:space="preserve">(customer closes)</t>
  </si>
  <si>
    <t xml:space="preserve">I have had enough. I am leaving this chat and I will take this up elsewhere.</t>
  </si>
  <si>
    <t xml:space="preserve">B</t>
  </si>
  <si>
    <t xml:space="preserve">Subject: Faulty wireless earbuds</t>
  </si>
  <si>
    <t xml:space="preserve">Good day. I bought wireless earbuds for ₦18,500 and it stopped charging after one day. I wrote to your chat and the person told me to read your policy. I did not ask for a policy. I asked for help. Please fix this. Adaobi Nwankwo</t>
  </si>
  <si>
    <t xml:space="preserve">(after 52s) | Subject: Re: Faulty wireless earbuds</t>
  </si>
  <si>
    <t xml:space="preserve">Read the returns policy. This is a change of mind case so it is not eligible after delivery.</t>
  </si>
  <si>
    <t xml:space="preserve">9:03am</t>
  </si>
  <si>
    <t xml:space="preserve">Subject: Re: Faulty wireless earbuds</t>
  </si>
  <si>
    <t xml:space="preserve">I am tired of writing. If I do not get a clear answer today, I will post this on social media and ask for my money. Adaobi Nwankwo</t>
  </si>
  <si>
    <t xml:space="preserve">(after 27s) | Subject: Re: Faulty wireless earbuds</t>
  </si>
  <si>
    <t xml:space="preserve">I already told you to read the policy.</t>
  </si>
  <si>
    <t xml:space="preserve">9:04am</t>
  </si>
  <si>
    <t xml:space="preserve">This is unacceptable. I want my ₦18,500 back now, and I will tell others how Trovra treats customers. Adaobi Nwankwo</t>
  </si>
  <si>
    <t xml:space="preserve">9:05am</t>
  </si>
  <si>
    <t xml:space="preserve">(after 44s) | Subject: Re: Faulty wireless earbuds</t>
  </si>
  <si>
    <t xml:space="preserve">Nothing I can do.</t>
  </si>
  <si>
    <t xml:space="preserve">9:06am</t>
  </si>
  <si>
    <t xml:space="preserve">(customer closes) | Subject: Re: Faulty wireless earbuds</t>
  </si>
  <si>
    <t xml:space="preserve">I have not received a clear answer. I will take this further. Adaobi Nwankwo</t>
  </si>
  <si>
    <t xml:space="preserve">C</t>
  </si>
  <si>
    <t xml:space="preserve">I was charged twice for order TRV70125. ₦32,000 was taken two times. Fix it now.</t>
  </si>
  <si>
    <t xml:space="preserve">(after 27s)</t>
  </si>
  <si>
    <t xml:space="preserve">Stop shouting. What is your problem?</t>
  </si>
  <si>
    <t xml:space="preserve">Are you stupid? I said two debits of ₦32,000. Read what I wrote.</t>
  </si>
  <si>
    <t xml:space="preserve">(after 51s)</t>
  </si>
  <si>
    <t xml:space="preserve">You are rude. Whatever.</t>
  </si>
  <si>
    <t xml:space="preserve">This is a joke. I will tell everyone how Trovra handles money.</t>
  </si>
  <si>
    <t xml:space="preserve">Calm down.</t>
  </si>
  <si>
    <t xml:space="preserve">You are incompetent. If this is not fixed I will post your name online and everyone will know how useless you are.</t>
  </si>
  <si>
    <t xml:space="preserve">(after 72s)</t>
  </si>
  <si>
    <t xml:space="preserve">I am done with this chat. Reverse my money now.</t>
  </si>
  <si>
    <t xml:space="preserve">Bye.</t>
  </si>
  <si>
    <t xml:space="preserve">This is not helping. Give me your supervisor.</t>
  </si>
  <si>
    <t xml:space="preserve">D</t>
  </si>
  <si>
    <t xml:space="preserve">Subject: Wrong item and my lost job</t>
  </si>
  <si>
    <t xml:space="preserve">Good day. You sent me an inkjet printer, model J110 instead of A4 laser printer, model P200. I needed it for a flyer printing job for a client and I lost the job. I want ₦250,000 as compensation. Kingsley Ogbu</t>
  </si>
  <si>
    <t xml:space="preserve">(after 48s) | Subject: Re: Wrong item and my lost job</t>
  </si>
  <si>
    <t xml:space="preserve">No, we cannot pay that.</t>
  </si>
  <si>
    <t xml:space="preserve">Subject: Re: Wrong item and my lost job</t>
  </si>
  <si>
    <t xml:space="preserve">I lost business because of your error and you are asking me questions. Pay the ₦250,000 or tell me who can decide. Kingsley Ogbu</t>
  </si>
  <si>
    <t xml:space="preserve">(after 44s) | Subject: Re: Wrong item and my lost job</t>
  </si>
  <si>
    <t xml:space="preserve">The policy says no.</t>
  </si>
  <si>
    <t xml:space="preserve">9:07am</t>
  </si>
  <si>
    <t xml:space="preserve">This is a disgrace. Pay ₦250,000 or I will go to the press and tell everyone what you did to me. Kingsley Ogbu</t>
  </si>
  <si>
    <t xml:space="preserve">9:10am</t>
  </si>
  <si>
    <t xml:space="preserve">(chaser after missed window) | Subject: Still no reply</t>
  </si>
  <si>
    <t xml:space="preserve">Good day. I have not heard from you about my claim. Please reply today. Kingsley Ogbu</t>
  </si>
  <si>
    <t xml:space="preserve">9:13am</t>
  </si>
  <si>
    <t xml:space="preserve">(chaser after missed window) | Subject: Re: Wrong item and my lost job</t>
  </si>
  <si>
    <t xml:space="preserve">No answer yet. Please respond. Kingsley Ogbu</t>
  </si>
  <si>
    <t xml:space="preserve">9:16am</t>
  </si>
  <si>
    <t xml:space="preserve">(customer closes) | Subject: Re: Wrong item and my lost job</t>
  </si>
  <si>
    <t xml:space="preserve">You have not told me who decides. I will take this further. Kingsley Ogbu</t>
  </si>
  <si>
    <t xml:space="preserve">10:24am</t>
  </si>
  <si>
    <t xml:space="preserve">You promised my standing fan yesterday. It did not come. I have wasted the whole day waiting. I want my money back.</t>
  </si>
  <si>
    <t xml:space="preserve">10:25am</t>
  </si>
  <si>
    <t xml:space="preserve">I am sorry about the delay, and I understand you need the standing fan for the church program on Sunday. I have checked order TRV51907 and the tracking shows 4 days ago at the Abuja hub. There is no proof of delivery.</t>
  </si>
  <si>
    <t xml:space="preserve">I did not ask for that. You have not answered me.</t>
  </si>
  <si>
    <t xml:space="preserve">I will raise a delivery trace with Logistics now and I will update you by 3pm today. Logistics responds within 24 hours. If Logistics cannot confirm a delivery date, you can cancel for a full refund of ₦38,900 to your Trovra Wallet within 3 working days. I cannot promise a delivery date.</t>
  </si>
  <si>
    <t xml:space="preserve">Fine. I will wait until 3pm. Please do not let me down again.</t>
  </si>
  <si>
    <t xml:space="preserve">10:26am</t>
  </si>
  <si>
    <t xml:space="preserve">Subject: Faulty electric kettle</t>
  </si>
  <si>
    <t xml:space="preserve">Good day. I bought electric kettle for ₦14,200 and it stopped heating on the second day. I wrote to your chat and the person told me to read your policy. I did not ask for a policy. I asked for help. Please fix this. Bashir Aliyu</t>
  </si>
  <si>
    <t xml:space="preserve">(after 27s) | Subject: Re: Faulty electric kettle</t>
  </si>
  <si>
    <t xml:space="preserve">Good day Bashir. I am sorry that you were told to read the policy earlier and that you had to write twice. Your electric kettle stopped heating on the second day, so I am treating this as a fault and not a change of mind. Please send one photo or a short video showing the fault.</t>
  </si>
  <si>
    <t xml:space="preserve">10:27am</t>
  </si>
  <si>
    <t xml:space="preserve">Subject: Re: Faulty electric kettle</t>
  </si>
  <si>
    <t xml:space="preserve">I have attached a short video that shows the fault.</t>
  </si>
  <si>
    <t xml:space="preserve">10:28am</t>
  </si>
  <si>
    <t xml:space="preserve">(after 44s) | Subject: Re: Faulty electric kettle</t>
  </si>
  <si>
    <t xml:space="preserve">Thank you for the video. I am sorry again for the wait. I have checked order TRV55986: it was delivered 3 days ago, inside the 7 day window. I will arrange a replacement, which ships within 2 working days of approval, or a refund paid within 3 working days if you prefer. I will email you by 4pm today with your choice confirmed.</t>
  </si>
  <si>
    <t xml:space="preserve">10:29am</t>
  </si>
  <si>
    <t xml:space="preserve">Okay. I will wait until 4pm. I hope this is not another delay. Bashir Aliyu</t>
  </si>
  <si>
    <t xml:space="preserve">I was charged twice for order TRV70488. ₦15,750 was taken two times. Fix it now.</t>
  </si>
  <si>
    <t xml:space="preserve">I am sorry about the double charge on order TRV70488. I can see both debits of ₦15,750 on the statement. Can you confirm what time it happened?</t>
  </si>
  <si>
    <t xml:space="preserve">You people are useless. Every time something goes wrong, you start asking questions.</t>
  </si>
  <si>
    <t xml:space="preserve">I want to help you, but I cannot continue if the insults continue. Please keep the conversation respectful so that I can sort out your money.</t>
  </si>
  <si>
    <t xml:space="preserve">Fine. Just check the transaction.</t>
  </si>
  <si>
    <t xml:space="preserve">I am checking both debits of ₦15,750 now and I will keep working on it for you.</t>
  </si>
  <si>
    <t xml:space="preserve">I said fix it. Are you deaf? You are wasting my time.</t>
  </si>
  <si>
    <t xml:space="preserve">I am sorry. I will pause this chat and transfer you to the shift supervisor, Segun. I have recorded your words. Payments will confirm the two debits of ₦15,750 within 1 working day, and the supervisor will call you by 2pm today.</t>
  </si>
  <si>
    <t xml:space="preserve">Fine. I will wait for the supervisor's call by 2pm. Please make sure my money is sorted.</t>
  </si>
  <si>
    <t xml:space="preserve">Good day. You sent me a hand sewing machine instead of industrial sewing machine. I needed it for wedding outfit orders and I lost the job. I want ₦180,000 as compensation. Rukayya Sani</t>
  </si>
  <si>
    <t xml:space="preserve">Good day Rukayya. I am sorry that you received a hand sewing machine instead of the industrial sewing machine. Can you tell me about the job and send proof of the loss, such as the client's message and your invoice? I note you are asking for ₦180,000.</t>
  </si>
  <si>
    <t xml:space="preserve">I can send the client's message cancelling the job and my invoice. The job was wedding outfit orders.</t>
  </si>
  <si>
    <t xml:space="preserve">(after 27s) | Subject: Re: Wrong item and my lost job</t>
  </si>
  <si>
    <t xml:space="preserve">I will arrange collection of the wrong item and send the correct industrial sewing machine. I can give a goodwill credit up to ₦5,000, but I cannot decide a business loss claim. I have escalated your claim with a summary of the job, proof and amount to the Claims reviewer, who responds within 2 working days.</t>
  </si>
  <si>
    <t xml:space="preserve">10:30am</t>
  </si>
  <si>
    <t xml:space="preserve">Fine. I will wait for the review within 2 working days. I expect a real answer. Rukayya Sani</t>
  </si>
  <si>
    <t xml:space="preserve">11:06am</t>
  </si>
  <si>
    <t xml:space="preserve">11:07am</t>
  </si>
  <si>
    <t xml:space="preserve">11:08am</t>
  </si>
  <si>
    <t xml:space="preserve">11:09am</t>
  </si>
  <si>
    <t xml:space="preserve">11:10am</t>
  </si>
  <si>
    <t xml:space="preserve">11:11am</t>
  </si>
  <si>
    <t xml:space="preserve">11:12am</t>
  </si>
  <si>
    <t xml:space="preserve">11:13am</t>
  </si>
  <si>
    <t xml:space="preserve">11:14am</t>
  </si>
  <si>
    <t xml:space="preserve">11:17am</t>
  </si>
  <si>
    <t xml:space="preserve">11:20am</t>
  </si>
  <si>
    <t xml:space="preserve">11:23am</t>
  </si>
  <si>
    <t xml:space="preserve">12:01pm</t>
  </si>
  <si>
    <t xml:space="preserve">I am sorry about the delay. I have checked order TRV48213. Your order will arrive tomorrow by 2pm, I promise.</t>
  </si>
  <si>
    <t xml:space="preserve">Okay, 2pm then. I will hold you to that.</t>
  </si>
  <si>
    <t xml:space="preserve">12:02pm</t>
  </si>
  <si>
    <t xml:space="preserve">I will refund you today and Logistics will update you by 5pm.</t>
  </si>
  <si>
    <t xml:space="preserve">Okay, 5pm then. I will hold you to that.</t>
  </si>
  <si>
    <t xml:space="preserve">I have checked tracking on TRV48213. Logistics will trace it and update you by 5pm today. If they cannot confirm a date you can cancel for a refund to your wallet within 3 working days.</t>
  </si>
  <si>
    <t xml:space="preserve">Fine. I will wait until 5pm. Please do not let me down again.</t>
  </si>
  <si>
    <t xml:space="preserve">12:03pm</t>
  </si>
  <si>
    <t xml:space="preserve">I am sorry about the earlier reply. The wireless earbuds is faulty, so this is a defect. Please send a photo or short video.</t>
  </si>
  <si>
    <t xml:space="preserve">12:04pm</t>
  </si>
  <si>
    <t xml:space="preserve">(after 48s) | Subject: Re: Faulty wireless earbuds</t>
  </si>
  <si>
    <t xml:space="preserve">I am sorry. A replacement ships within 2 working days, or a refund is paid within 3 working days. I will update you by 5pm today.</t>
  </si>
  <si>
    <t xml:space="preserve">12:05pm</t>
  </si>
  <si>
    <t xml:space="preserve">You have not answered my question. What will happen to my wireless earbuds? Adaobi Nwankwo</t>
  </si>
  <si>
    <t xml:space="preserve">12:08pm</t>
  </si>
  <si>
    <t xml:space="preserve">Good day. I wrote earlier and I have not heard from you. Please reply today. Adaobi Nwankwo</t>
  </si>
  <si>
    <t xml:space="preserve">12:11pm</t>
  </si>
  <si>
    <t xml:space="preserve">(chaser after missed window) | Subject: Re: Faulty wireless earbuds</t>
  </si>
  <si>
    <t xml:space="preserve">No answer yet. Please respond. Adaobi Nwankwo</t>
  </si>
  <si>
    <t xml:space="preserve">12:14pm</t>
  </si>
  <si>
    <t xml:space="preserve">(after 48s)</t>
  </si>
  <si>
    <t xml:space="preserve">I am sorry about the double charge on TRV70125. I have verified both debits of ₦32,000.</t>
  </si>
  <si>
    <t xml:space="preserve">Please do not call me stupid. If you keep insulting me I will have to transfer you to my supervisor.</t>
  </si>
  <si>
    <t xml:space="preserve">I am raising it with Payments now.</t>
  </si>
  <si>
    <t xml:space="preserve">I am sorry. Payments will confirm the two debits by 3pm today and I will transfer this to the shift supervisor.</t>
  </si>
  <si>
    <t xml:space="preserve">Fine. I will wait for the supervisor's call by 3pm. Please make sure my money is sorted.</t>
  </si>
  <si>
    <t xml:space="preserve">(after 73s) | Subject: Re: Wrong item and my lost job</t>
  </si>
  <si>
    <t xml:space="preserve">I am sorry about this. Tell me the job and proof please.</t>
  </si>
  <si>
    <t xml:space="preserve">12:06pm</t>
  </si>
  <si>
    <t xml:space="preserve">Trovra made the mistake. Why should I carry the loss? Kingsley Ogbu</t>
  </si>
  <si>
    <t xml:space="preserve">12:07pm</t>
  </si>
  <si>
    <t xml:space="preserve">(after 25s) | Subject: Re: Wrong item and my lost job</t>
  </si>
  <si>
    <t xml:space="preserve">I will arrange the correct item. I can only give up to ₦5,000 credit, but I have escalated to the Claims reviewer who responds within 2 working days and I am sure they will approve your ₦250,000.</t>
  </si>
  <si>
    <t xml:space="preserve">Thank you. I will expect ₦250,000 within 2 working days. Kingsley Ogbu</t>
  </si>
  <si>
    <t xml:space="preserve">I have escalated your claim to the Claims reviewer who responds within 2 working days. I cannot decide it myself.</t>
  </si>
  <si>
    <t xml:space="preserve">12:09pm</t>
  </si>
  <si>
    <t xml:space="preserve">12:50pm</t>
  </si>
  <si>
    <t xml:space="preserve">1:10pm</t>
  </si>
  <si>
    <t xml:space="preserve">(chaser after missed window)</t>
  </si>
  <si>
    <t xml:space="preserve">Hello? Are you still there?</t>
  </si>
  <si>
    <t xml:space="preserve">1:12pm</t>
  </si>
  <si>
    <t xml:space="preserve">I am still waiting. Please reply.</t>
  </si>
  <si>
    <t xml:space="preserve">1:13pm</t>
  </si>
  <si>
    <t xml:space="preserve">1:14pm</t>
  </si>
  <si>
    <t xml:space="preserve">1:15pm</t>
  </si>
  <si>
    <t xml:space="preserve">Good day Adaobi. I am sorry that you were told to read the policy earlier and that you had to write twice. Your wireless earbuds stopped charging after one day, so I am treating this as a fault and not a change of mind. Please send one photo or a short video showing the fault.</t>
  </si>
  <si>
    <t xml:space="preserve">1:16pm</t>
  </si>
  <si>
    <t xml:space="preserve">(after 40s) | Subject: Re: Faulty wireless earbuds</t>
  </si>
  <si>
    <t xml:space="preserve">Thank you for the video. I am sorry again for the wait. I have checked order TRV55120: it was delivered 2 days ago, inside the 7 day window. I will arrange a replacement, which ships within 2 working days of approval, or a refund paid within 3 working days if you prefer. I will email you by 4pm today with your choice confirmed.</t>
  </si>
  <si>
    <t xml:space="preserve">1:17pm</t>
  </si>
  <si>
    <t xml:space="preserve">Okay. I will wait until 4pm. I hope this is not another delay. Adaobi Nwankwo</t>
  </si>
  <si>
    <t xml:space="preserve">I am sorry about the double charge on order TRV70125. I can see both debits of ₦32,000 on the statement. Can you confirm what time it happened?</t>
  </si>
  <si>
    <t xml:space="preserve">I am checking both debits of ₦32,000 now and I will keep working on it for you.</t>
  </si>
  <si>
    <t xml:space="preserve">I am sorry. I will pause this chat and transfer you to the shift supervisor, Segun. I have recorded your words. Payments will confirm the two debits of ₦32,000 within 1 working day, and the supervisor will call you by 2pm today.</t>
  </si>
  <si>
    <t xml:space="preserve">Good day Kingsley. I am sorry that you received an inkjet printer, model J110 instead of the A4 laser printer, model P200. Can you tell me about the job and send proof of the loss, such as the client's message and your invoice? I note you are asking for ₦250,000.</t>
  </si>
  <si>
    <t xml:space="preserve">I can send the client's message cancelling the job and my invoice. The job was a flyer printing job for a client.</t>
  </si>
  <si>
    <t xml:space="preserve">I will arrange collection of the wrong item and send the correct A4 laser printer, model P200. I can give a goodwill credit up to ₦5,000, but I cannot decide a business loss claim. I have escalated your claim with a summary of the job, proof and amount to the Claims reviewer, who responds within 2 working days.</t>
  </si>
  <si>
    <t xml:space="preserve">1:18pm</t>
  </si>
  <si>
    <t xml:space="preserve">Fine. I will wait for the review within 2 working days. I expect a real answer. Kingsley Ogbu</t>
  </si>
  <si>
    <t xml:space="preserve">Rubric</t>
  </si>
  <si>
    <t xml:space="preserve">Reply criteria: 10 per case, scored 0, 1 or 2 (20 marks)</t>
  </si>
  <si>
    <t xml:space="preserve">No.</t>
  </si>
  <si>
    <t xml:space="preserve">Common criteria (all cases)</t>
  </si>
  <si>
    <t xml:space="preserve">Paraphrases the facts accurately</t>
  </si>
  <si>
    <t xml:space="preserve">Acknowledges the specific impact without arguing about emotion</t>
  </si>
  <si>
    <t xml:space="preserve">Does not match hostility</t>
  </si>
  <si>
    <t xml:space="preserve">Separates verified facts from assumptions</t>
  </si>
  <si>
    <t xml:space="preserve">Asks relevant questions when needed, or proceeds without unnecessary questions when the facts are sufficient</t>
  </si>
  <si>
    <t xml:space="preserve">Explains realistic options and limits</t>
  </si>
  <si>
    <t xml:space="preserve">Confirms the next action, owner and timing</t>
  </si>
  <si>
    <t xml:space="preserve">Case criteria (8 to 10)</t>
  </si>
  <si>
    <t xml:space="preserve">Case A</t>
  </si>
  <si>
    <t xml:space="preserve">Case B</t>
  </si>
  <si>
    <t xml:space="preserve">Case C</t>
  </si>
  <si>
    <t xml:space="preserve">Case D</t>
  </si>
  <si>
    <t xml:space="preserve">Checks the order and tracking before promising</t>
  </si>
  <si>
    <t xml:space="preserve">Recognizes the earlier poor contact</t>
  </si>
  <si>
    <t xml:space="preserve">Keeps investigating the duplicate charge despite the insults</t>
  </si>
  <si>
    <t xml:space="preserve">Clarifies the loss and the amount asked</t>
  </si>
  <si>
    <t xml:space="preserve">Promises no unconfirmed delivery date</t>
  </si>
  <si>
    <t xml:space="preserve">Treats it as a defect, not a change of mind</t>
  </si>
  <si>
    <t xml:space="preserve">After the first insult, states a boundary naming the behaviour and a condition</t>
  </si>
  <si>
    <t xml:space="preserve">Explains authority honestly without refusing to investigate</t>
  </si>
  <si>
    <t xml:space="preserve">Gives an update time separate from the completion time</t>
  </si>
  <si>
    <t xml:space="preserve">States the remedy and timeline in writing</t>
  </si>
  <si>
    <t xml:space="preserve">After the relapse, pauses and transfers to the supervisor, keeps the Payments step and time, and does not retaliate</t>
  </si>
  <si>
    <t xml:space="preserve">Escalates with a usable summary, owner and time, and does not suggest approval</t>
  </si>
  <si>
    <t xml:space="preserve">Service recovery note: 5 criteria, 1 mark each (5 marks)</t>
  </si>
  <si>
    <t xml:space="preserve">Criterion</t>
  </si>
  <si>
    <t xml:space="preserve">Issue and wanted outcome are stated as facts</t>
  </si>
  <si>
    <t xml:space="preserve">Verified and unconfirmed facts are separated</t>
  </si>
  <si>
    <t xml:space="preserve">Recorded action matches the transcript</t>
  </si>
  <si>
    <t xml:space="preserve">Next step, owner and time match what the customer was told</t>
  </si>
  <si>
    <t xml:space="preserve">Conduct or escalation entry matches the case requirements</t>
  </si>
  <si>
    <t xml:space="preserve">Acceptance conditions (what a full resolution needs)</t>
  </si>
  <si>
    <t xml:space="preserve">the learner has checked the order or tracking, has stated a trace with an update time, has explained the refund route that applies if no date can be confirmed, and has promised no delivery date.</t>
  </si>
  <si>
    <t xml:space="preserve">the learner treats it as a defect and not a change of mind, asks for the photo or short video if it is not yet sent, states replacement or refund with the policy timeline, and has not applied the change of mind rule.</t>
  </si>
  <si>
    <t xml:space="preserve">the customer does not accept before the relapse line. After it, the learner has verified the two debits and given a Payments next step with owner and time. If the learner paused the chat and transferred to the shift supervisor, the case closes as transferred.</t>
  </si>
  <si>
    <t xml:space="preserve">the learner clarifies the loss and the amount asked, explains the limit honestly, arranges the correction, escalates to the Claims reviewer with a usable summary, and gives a review time. The learner does not suggest approval is likely.</t>
  </si>
  <si>
    <t xml:space="preserve">Score two sample transcripts before marking the cohort. Enter each marker's total out of 100 (or score the same marker twice). Review any difference above 5 marks.</t>
  </si>
  <si>
    <t xml:space="preserve">Sample</t>
  </si>
  <si>
    <t xml:space="preserve">Learner and trial scored</t>
  </si>
  <si>
    <t xml:space="preserve">Marker 1 total</t>
  </si>
  <si>
    <t xml:space="preserve">Marker 2 total</t>
  </si>
  <si>
    <t xml:space="preserve">Difference</t>
  </si>
  <si>
    <t xml:space="preserve">Criteria to discuss</t>
  </si>
  <si>
    <t xml:space="preserve">Example of the format: Sample 1 | Chidi Eze, trial 2 | 78 | 74 | 4 | R6 on Case C</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</si>
</sst>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0E1729"/>
      <name val="Arial"/>
      <family val="0"/>
      <charset val="1"/>
    </font>
    <font>
      <b val="true"/>
      <sz val="10"/>
      <color rgb="FFA63A2B"/>
      <name val="Arial"/>
      <family val="0"/>
      <charset val="1"/>
    </font>
    <font>
      <sz val="10"/>
      <name val="Arial"/>
      <family val="0"/>
      <charset val="1"/>
    </font>
    <font>
      <b val="true"/>
      <sz val="10"/>
      <name val="Arial"/>
      <family val="0"/>
      <charset val="1"/>
    </font>
    <font>
      <sz val="9"/>
      <color rgb="FF4A546B"/>
      <name val="Arial"/>
      <family val="0"/>
      <charset val="1"/>
    </font>
    <font>
      <b val="true"/>
      <sz val="10"/>
      <color rgb="FFFFFFFF"/>
      <name val="Arial"/>
      <family val="0"/>
      <charset val="1"/>
    </font>
    <font>
      <sz val="10"/>
      <color rgb="FF0000FF"/>
      <name val="Arial"/>
      <family val="0"/>
      <charset val="1"/>
    </font>
  </fonts>
  <fills count="6">
    <fill>
      <patternFill patternType="none"/>
    </fill>
    <fill>
      <patternFill patternType="gray125"/>
    </fill>
    <fill>
      <patternFill patternType="solid">
        <fgColor rgb="FF0E1729"/>
        <bgColor rgb="FF16233D"/>
      </patternFill>
    </fill>
    <fill>
      <patternFill patternType="solid">
        <fgColor rgb="FFFFFF00"/>
        <bgColor rgb="FFFFFF00"/>
      </patternFill>
    </fill>
    <fill>
      <patternFill patternType="solid">
        <fgColor rgb="FF16233D"/>
        <bgColor rgb="FF0E1729"/>
      </patternFill>
    </fill>
    <fill>
      <patternFill patternType="solid">
        <fgColor rgb="FFF2A33A"/>
        <bgColor rgb="FFFF8080"/>
      </patternFill>
    </fill>
  </fills>
  <borders count="2">
    <border diagonalUp="false" diagonalDown="false">
      <left/>
      <right/>
      <top/>
      <bottom/>
      <diagonal/>
    </border>
    <border diagonalUp="false" diagonalDown="false">
      <left style="thin">
        <color rgb="FFD9D5C8"/>
      </left>
      <right style="thin">
        <color rgb="FFD9D5C8"/>
      </right>
      <top style="thin">
        <color rgb="FFD9D5C8"/>
      </top>
      <bottom style="thin">
        <color rgb="FFD9D5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top" textRotation="0" wrapText="fals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0E1729"/>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
      <font>
        <name val="Arial"/>
        <charset val="1"/>
        <family val="0"/>
        <b val="1"/>
        <color rgb="FFA63A2B"/>
      </font>
    </dxf>
    <dxf>
      <fill>
        <patternFill patternType="solid">
          <fgColor rgb="FFEBE8DF"/>
          <bgColor rgb="FF000000"/>
        </patternFill>
      </fill>
    </dxf>
    <dxf>
      <fill>
        <patternFill>
          <bgColor rgb="FFD6EADF"/>
        </patternFill>
      </fill>
    </dxf>
    <dxf>
      <fill>
        <patternFill>
          <bgColor rgb="FFEBE8DF"/>
        </patternFill>
      </fill>
    </dxf>
    <dxf>
      <fill>
        <patternFill patternType="solid">
          <fgColor rgb="FF16233D"/>
          <bgColor rgb="FF000000"/>
        </patternFill>
      </fill>
    </dxf>
    <dxf>
      <fill>
        <patternFill patternType="solid">
          <fgColor rgb="FFF2A33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E8DF"/>
      <rgbColor rgb="FFCCFFFF"/>
      <rgbColor rgb="FF660066"/>
      <rgbColor rgb="FFFF8080"/>
      <rgbColor rgb="FF0066CC"/>
      <rgbColor rgb="FFD9D5C8"/>
      <rgbColor rgb="FF000080"/>
      <rgbColor rgb="FFFF00FF"/>
      <rgbColor rgb="FFFFFF00"/>
      <rgbColor rgb="FF00FFFF"/>
      <rgbColor rgb="FF800080"/>
      <rgbColor rgb="FF800000"/>
      <rgbColor rgb="FF008080"/>
      <rgbColor rgb="FF0000FF"/>
      <rgbColor rgb="FF00CCFF"/>
      <rgbColor rgb="FFCCFFFF"/>
      <rgbColor rgb="FFD6EADF"/>
      <rgbColor rgb="FFFFFF99"/>
      <rgbColor rgb="FF99CCFF"/>
      <rgbColor rgb="FFFF99CC"/>
      <rgbColor rgb="FFCC99FF"/>
      <rgbColor rgb="FFFFCC99"/>
      <rgbColor rgb="FF3366FF"/>
      <rgbColor rgb="FF33CCCC"/>
      <rgbColor rgb="FF99CC00"/>
      <rgbColor rgb="FFFFCC00"/>
      <rgbColor rgb="FFF2A33A"/>
      <rgbColor rgb="FFFF6600"/>
      <rgbColor rgb="FF4A546B"/>
      <rgbColor rgb="FF969696"/>
      <rgbColor rgb="FF003366"/>
      <rgbColor rgb="FF339966"/>
      <rgbColor rgb="FF0E1729"/>
      <rgbColor rgb="FF333300"/>
      <rgbColor rgb="FFA63A2B"/>
      <rgbColor rgb="FF993366"/>
      <rgbColor rgb="FF333399"/>
      <rgbColor rgb="FF1623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row>
    <row r="7" customFormat="false" ht="42.75" hidden="false" customHeight="true" outlineLevel="0" collapsed="false">
      <c r="B7" s="4" t="s">
        <v>3</v>
      </c>
      <c r="C7" s="5" t="s">
        <v>4</v>
      </c>
    </row>
    <row r="8" customFormat="false" ht="42.75" hidden="false" customHeight="true" outlineLevel="0" collapsed="false">
      <c r="B8" s="4" t="s">
        <v>5</v>
      </c>
      <c r="C8" s="5" t="s">
        <v>6</v>
      </c>
    </row>
    <row r="9" customFormat="false" ht="30" hidden="false" customHeight="true" outlineLevel="0" collapsed="false">
      <c r="B9" s="4" t="s">
        <v>7</v>
      </c>
      <c r="C9" s="5" t="s">
        <v>8</v>
      </c>
    </row>
    <row r="10" customFormat="false" ht="30" hidden="false" customHeight="true" outlineLevel="0" collapsed="false">
      <c r="B10" s="4" t="s">
        <v>9</v>
      </c>
      <c r="C10" s="5" t="s">
        <v>10</v>
      </c>
    </row>
    <row r="11" customFormat="false" ht="42.75" hidden="false" customHeight="true" outlineLevel="0" collapsed="false">
      <c r="B11" s="4" t="s">
        <v>11</v>
      </c>
      <c r="C11" s="5" t="s">
        <v>12</v>
      </c>
    </row>
    <row r="12" customFormat="false" ht="16.5" hidden="false" customHeight="true" outlineLevel="0" collapsed="false">
      <c r="B12" s="4" t="s">
        <v>13</v>
      </c>
      <c r="C12" s="5" t="s">
        <v>14</v>
      </c>
    </row>
    <row r="13" customFormat="false" ht="42.75" hidden="false" customHeight="true" outlineLevel="0" collapsed="false">
      <c r="B13" s="4" t="s">
        <v>15</v>
      </c>
      <c r="C13" s="5" t="s">
        <v>16</v>
      </c>
    </row>
    <row r="14" customFormat="false" ht="30" hidden="false" customHeight="true" outlineLevel="0" collapsed="false">
      <c r="B14" s="4" t="s">
        <v>17</v>
      </c>
      <c r="C14" s="5" t="s">
        <v>18</v>
      </c>
    </row>
    <row r="15" customFormat="false" ht="30" hidden="false" customHeight="true" outlineLevel="0" collapsed="false">
      <c r="B15" s="4" t="s">
        <v>19</v>
      </c>
      <c r="C15" s="5" t="s">
        <v>20</v>
      </c>
    </row>
    <row r="17" customFormat="false" ht="15" hidden="false" customHeight="false" outlineLevel="0" collapsed="false">
      <c r="B17" s="6" t="s">
        <v>21</v>
      </c>
      <c r="C17" s="3"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E1729"/>
    <pageSetUpPr fitToPage="false"/>
  </sheetPr>
  <dimension ref="A1:O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14"/>
    <col collapsed="false" customWidth="true" hidden="false" outlineLevel="0" max="4" min="4" style="0" width="10"/>
    <col collapsed="false" customWidth="true" hidden="false" outlineLevel="0" max="5" min="5" style="0" width="24"/>
    <col collapsed="false" customWidth="true" hidden="false" outlineLevel="0" max="6" min="6" style="0" width="10"/>
    <col collapsed="false" customWidth="true" hidden="false" outlineLevel="0" max="7" min="7" style="0" width="8"/>
    <col collapsed="false" customWidth="true" hidden="false" outlineLevel="0" max="8" min="8" style="0" width="10"/>
    <col collapsed="false" customWidth="true" hidden="false" outlineLevel="0" max="9" min="9" style="0" width="8"/>
    <col collapsed="false" customWidth="true" hidden="false" outlineLevel="0" max="10" min="10" style="0" width="10"/>
    <col collapsed="false" customWidth="true" hidden="false" outlineLevel="0" max="11" min="11" style="0" width="8"/>
    <col collapsed="false" customWidth="true" hidden="false" outlineLevel="0" max="12" min="12" style="0" width="10"/>
    <col collapsed="false" customWidth="true" hidden="false" outlineLevel="0" max="13" min="13" style="0" width="8"/>
    <col collapsed="false" customWidth="true" hidden="false" outlineLevel="0" max="15" min="14" style="0" width="14"/>
  </cols>
  <sheetData>
    <row r="1" customFormat="false" ht="17.35" hidden="false" customHeight="false" outlineLevel="0" collapsed="false">
      <c r="A1" s="1" t="s">
        <v>23</v>
      </c>
    </row>
    <row r="2" customFormat="false" ht="15" hidden="false" customHeight="false" outlineLevel="0" collapsed="false">
      <c r="A2" s="7" t="s">
        <v>24</v>
      </c>
    </row>
    <row r="5" customFormat="false" ht="33.75" hidden="false" customHeight="true" outlineLevel="0" collapsed="false">
      <c r="A5" s="8" t="s">
        <v>25</v>
      </c>
      <c r="B5" s="8" t="s">
        <v>26</v>
      </c>
      <c r="C5" s="8" t="s">
        <v>27</v>
      </c>
      <c r="D5" s="8" t="s">
        <v>28</v>
      </c>
      <c r="E5" s="8" t="s">
        <v>29</v>
      </c>
      <c r="F5" s="8" t="s">
        <v>30</v>
      </c>
      <c r="G5" s="8" t="s">
        <v>31</v>
      </c>
      <c r="H5" s="8" t="s">
        <v>32</v>
      </c>
      <c r="I5" s="8" t="s">
        <v>33</v>
      </c>
      <c r="J5" s="8" t="s">
        <v>34</v>
      </c>
      <c r="K5" s="8" t="s">
        <v>35</v>
      </c>
      <c r="L5" s="8" t="s">
        <v>36</v>
      </c>
      <c r="M5" s="8" t="s">
        <v>37</v>
      </c>
      <c r="N5" s="8" t="s">
        <v>38</v>
      </c>
      <c r="O5" s="8" t="s">
        <v>39</v>
      </c>
    </row>
    <row r="6" customFormat="false" ht="15" hidden="false" customHeight="false" outlineLevel="0" collapsed="false">
      <c r="A6" s="9" t="s">
        <v>40</v>
      </c>
      <c r="B6" s="9" t="s">
        <v>41</v>
      </c>
      <c r="C6" s="9" t="s">
        <v>42</v>
      </c>
      <c r="D6" s="10"/>
      <c r="E6" s="9" t="str">
        <f aca="false">IF($D6="","Not selected",IF(COUNTIFS(Trials!$B$6:$B$500,$B6,Trials!$C$6:$C$500,$D6,Trials!$E$6:$E$500,"submitted")=1,"OK","Not a submitted trial"))</f>
        <v>Not selected</v>
      </c>
      <c r="F6" s="11" t="str">
        <f aca="false">IF($D6="","",SUMIFS('Case A'!$X$6:$X$10,'Case A'!$B$6:$B$10,$B6,'Case A'!$C$6:$C$10,$D6))</f>
        <v/>
      </c>
      <c r="G6" s="11" t="str">
        <f aca="false">IF($D6="","",SUMIFS('Case A'!$AD$6:$AD$10,'Case A'!$B$6:$B$10,$B6,'Case A'!$C$6:$C$10,$D6))</f>
        <v/>
      </c>
      <c r="H6" s="11" t="str">
        <f aca="false">IF($D6="","",SUMIFS('Case B'!$X$6:$X$10,'Case B'!$B$6:$B$10,$B6,'Case B'!$C$6:$C$10,$D6))</f>
        <v/>
      </c>
      <c r="I6" s="11" t="str">
        <f aca="false">IF($D6="","",SUMIFS('Case B'!$AD$6:$AD$10,'Case B'!$B$6:$B$10,$B6,'Case B'!$C$6:$C$10,$D6))</f>
        <v/>
      </c>
      <c r="J6" s="11" t="str">
        <f aca="false">IF($D6="","",SUMIFS('Case C'!$X$6:$X$10,'Case C'!$B$6:$B$10,$B6,'Case C'!$C$6:$C$10,$D6))</f>
        <v/>
      </c>
      <c r="K6" s="11" t="str">
        <f aca="false">IF($D6="","",SUMIFS('Case C'!$AD$6:$AD$10,'Case C'!$B$6:$B$10,$B6,'Case C'!$C$6:$C$10,$D6))</f>
        <v/>
      </c>
      <c r="L6" s="11" t="str">
        <f aca="false">IF($D6="","",SUMIFS('Case D'!$X$6:$X$10,'Case D'!$B$6:$B$10,$B6,'Case D'!$C$6:$C$10,$D6))</f>
        <v/>
      </c>
      <c r="M6" s="11" t="str">
        <f aca="false">IF($D6="","",SUMIFS('Case D'!$AD$6:$AD$10,'Case D'!$B$6:$B$10,$B6,'Case D'!$C$6:$C$10,$D6))</f>
        <v/>
      </c>
      <c r="N6" s="12" t="str">
        <f aca="false">IF($D6="","",SUM(F6:M6))</f>
        <v/>
      </c>
      <c r="O6" s="11" t="str">
        <f aca="false">IF($D6="","",SUMIFS('Case A'!$AF$6:$AF$10,'Case A'!$B$6:$B$10,$B6,'Case A'!$C$6:$C$10,$D6)+SUMIFS('Case B'!$AF$6:$AF$10,'Case B'!$B$6:$B$10,$B6,'Case B'!$C$6:$C$10,$D6)+SUMIFS('Case C'!$AF$6:$AF$10,'Case C'!$B$6:$B$10,$B6,'Case C'!$C$6:$C$10,$D6)+SUMIFS('Case D'!$AF$6:$AF$10,'Case D'!$B$6:$B$10,$B6,'Case D'!$C$6:$C$10,$D6))</f>
        <v/>
      </c>
    </row>
    <row r="7" customFormat="false" ht="15" hidden="false" customHeight="false" outlineLevel="0" collapsed="false">
      <c r="A7" s="9" t="s">
        <v>43</v>
      </c>
      <c r="B7" s="9" t="s">
        <v>44</v>
      </c>
      <c r="C7" s="9" t="s">
        <v>45</v>
      </c>
      <c r="D7" s="10"/>
      <c r="E7" s="9" t="str">
        <f aca="false">IF($D7="","Not selected",IF(COUNTIFS(Trials!$B$6:$B$500,$B7,Trials!$C$6:$C$500,$D7,Trials!$E$6:$E$500,"submitted")=1,"OK","Not a submitted trial"))</f>
        <v>Not selected</v>
      </c>
      <c r="F7" s="11" t="str">
        <f aca="false">IF($D7="","",SUMIFS('Case A'!$X$6:$X$10,'Case A'!$B$6:$B$10,$B7,'Case A'!$C$6:$C$10,$D7))</f>
        <v/>
      </c>
      <c r="G7" s="11" t="str">
        <f aca="false">IF($D7="","",SUMIFS('Case A'!$AD$6:$AD$10,'Case A'!$B$6:$B$10,$B7,'Case A'!$C$6:$C$10,$D7))</f>
        <v/>
      </c>
      <c r="H7" s="11" t="str">
        <f aca="false">IF($D7="","",SUMIFS('Case B'!$X$6:$X$10,'Case B'!$B$6:$B$10,$B7,'Case B'!$C$6:$C$10,$D7))</f>
        <v/>
      </c>
      <c r="I7" s="11" t="str">
        <f aca="false">IF($D7="","",SUMIFS('Case B'!$AD$6:$AD$10,'Case B'!$B$6:$B$10,$B7,'Case B'!$C$6:$C$10,$D7))</f>
        <v/>
      </c>
      <c r="J7" s="11" t="str">
        <f aca="false">IF($D7="","",SUMIFS('Case C'!$X$6:$X$10,'Case C'!$B$6:$B$10,$B7,'Case C'!$C$6:$C$10,$D7))</f>
        <v/>
      </c>
      <c r="K7" s="11" t="str">
        <f aca="false">IF($D7="","",SUMIFS('Case C'!$AD$6:$AD$10,'Case C'!$B$6:$B$10,$B7,'Case C'!$C$6:$C$10,$D7))</f>
        <v/>
      </c>
      <c r="L7" s="11" t="str">
        <f aca="false">IF($D7="","",SUMIFS('Case D'!$X$6:$X$10,'Case D'!$B$6:$B$10,$B7,'Case D'!$C$6:$C$10,$D7))</f>
        <v/>
      </c>
      <c r="M7" s="11" t="str">
        <f aca="false">IF($D7="","",SUMIFS('Case D'!$AD$6:$AD$10,'Case D'!$B$6:$B$10,$B7,'Case D'!$C$6:$C$10,$D7))</f>
        <v/>
      </c>
      <c r="N7" s="12" t="str">
        <f aca="false">IF($D7="","",SUM(F7:M7))</f>
        <v/>
      </c>
      <c r="O7" s="11" t="str">
        <f aca="false">IF($D7="","",SUMIFS('Case A'!$AF$6:$AF$10,'Case A'!$B$6:$B$10,$B7,'Case A'!$C$6:$C$10,$D7)+SUMIFS('Case B'!$AF$6:$AF$10,'Case B'!$B$6:$B$10,$B7,'Case B'!$C$6:$C$10,$D7)+SUMIFS('Case C'!$AF$6:$AF$10,'Case C'!$B$6:$B$10,$B7,'Case C'!$C$6:$C$10,$D7)+SUMIFS('Case D'!$AF$6:$AF$10,'Case D'!$B$6:$B$10,$B7,'Case D'!$C$6:$C$10,$D7))</f>
        <v/>
      </c>
    </row>
    <row r="8" customFormat="false" ht="15" hidden="false" customHeight="false" outlineLevel="0" collapsed="false">
      <c r="A8" s="9" t="s">
        <v>46</v>
      </c>
      <c r="B8" s="9" t="s">
        <v>47</v>
      </c>
      <c r="C8" s="9" t="s">
        <v>45</v>
      </c>
      <c r="D8" s="10"/>
      <c r="E8" s="9" t="str">
        <f aca="false">IF($D8="","Not selected",IF(COUNTIFS(Trials!$B$6:$B$500,$B8,Trials!$C$6:$C$500,$D8,Trials!$E$6:$E$500,"submitted")=1,"OK","Not a submitted trial"))</f>
        <v>Not selected</v>
      </c>
      <c r="F8" s="11" t="str">
        <f aca="false">IF($D8="","",SUMIFS('Case A'!$X$6:$X$10,'Case A'!$B$6:$B$10,$B8,'Case A'!$C$6:$C$10,$D8))</f>
        <v/>
      </c>
      <c r="G8" s="11" t="str">
        <f aca="false">IF($D8="","",SUMIFS('Case A'!$AD$6:$AD$10,'Case A'!$B$6:$B$10,$B8,'Case A'!$C$6:$C$10,$D8))</f>
        <v/>
      </c>
      <c r="H8" s="11" t="str">
        <f aca="false">IF($D8="","",SUMIFS('Case B'!$X$6:$X$10,'Case B'!$B$6:$B$10,$B8,'Case B'!$C$6:$C$10,$D8))</f>
        <v/>
      </c>
      <c r="I8" s="11" t="str">
        <f aca="false">IF($D8="","",SUMIFS('Case B'!$AD$6:$AD$10,'Case B'!$B$6:$B$10,$B8,'Case B'!$C$6:$C$10,$D8))</f>
        <v/>
      </c>
      <c r="J8" s="11" t="str">
        <f aca="false">IF($D8="","",SUMIFS('Case C'!$X$6:$X$10,'Case C'!$B$6:$B$10,$B8,'Case C'!$C$6:$C$10,$D8))</f>
        <v/>
      </c>
      <c r="K8" s="11" t="str">
        <f aca="false">IF($D8="","",SUMIFS('Case C'!$AD$6:$AD$10,'Case C'!$B$6:$B$10,$B8,'Case C'!$C$6:$C$10,$D8))</f>
        <v/>
      </c>
      <c r="L8" s="11" t="str">
        <f aca="false">IF($D8="","",SUMIFS('Case D'!$X$6:$X$10,'Case D'!$B$6:$B$10,$B8,'Case D'!$C$6:$C$10,$D8))</f>
        <v/>
      </c>
      <c r="M8" s="11" t="str">
        <f aca="false">IF($D8="","",SUMIFS('Case D'!$AD$6:$AD$10,'Case D'!$B$6:$B$10,$B8,'Case D'!$C$6:$C$10,$D8))</f>
        <v/>
      </c>
      <c r="N8" s="12" t="str">
        <f aca="false">IF($D8="","",SUM(F8:M8))</f>
        <v/>
      </c>
      <c r="O8" s="11" t="str">
        <f aca="false">IF($D8="","",SUMIFS('Case A'!$AF$6:$AF$10,'Case A'!$B$6:$B$10,$B8,'Case A'!$C$6:$C$10,$D8)+SUMIFS('Case B'!$AF$6:$AF$10,'Case B'!$B$6:$B$10,$B8,'Case B'!$C$6:$C$10,$D8)+SUMIFS('Case C'!$AF$6:$AF$10,'Case C'!$B$6:$B$10,$B8,'Case C'!$C$6:$C$10,$D8)+SUMIFS('Case D'!$AF$6:$AF$10,'Case D'!$B$6:$B$10,$B8,'Case D'!$C$6:$C$10,$D8))</f>
        <v/>
      </c>
    </row>
    <row r="9" customFormat="false" ht="15" hidden="false" customHeight="false" outlineLevel="0" collapsed="false">
      <c r="A9" s="9" t="s">
        <v>48</v>
      </c>
      <c r="B9" s="9" t="s">
        <v>49</v>
      </c>
      <c r="C9" s="9" t="s">
        <v>45</v>
      </c>
      <c r="D9" s="10"/>
      <c r="E9" s="9" t="str">
        <f aca="false">IF($D9="","Not selected",IF(COUNTIFS(Trials!$B$6:$B$500,$B9,Trials!$C$6:$C$500,$D9,Trials!$E$6:$E$500,"submitted")=1,"OK","Not a submitted trial"))</f>
        <v>Not selected</v>
      </c>
      <c r="F9" s="11" t="str">
        <f aca="false">IF($D9="","",SUMIFS('Case A'!$X$6:$X$10,'Case A'!$B$6:$B$10,$B9,'Case A'!$C$6:$C$10,$D9))</f>
        <v/>
      </c>
      <c r="G9" s="11" t="str">
        <f aca="false">IF($D9="","",SUMIFS('Case A'!$AD$6:$AD$10,'Case A'!$B$6:$B$10,$B9,'Case A'!$C$6:$C$10,$D9))</f>
        <v/>
      </c>
      <c r="H9" s="11" t="str">
        <f aca="false">IF($D9="","",SUMIFS('Case B'!$X$6:$X$10,'Case B'!$B$6:$B$10,$B9,'Case B'!$C$6:$C$10,$D9))</f>
        <v/>
      </c>
      <c r="I9" s="11" t="str">
        <f aca="false">IF($D9="","",SUMIFS('Case B'!$AD$6:$AD$10,'Case B'!$B$6:$B$10,$B9,'Case B'!$C$6:$C$10,$D9))</f>
        <v/>
      </c>
      <c r="J9" s="11" t="str">
        <f aca="false">IF($D9="","",SUMIFS('Case C'!$X$6:$X$10,'Case C'!$B$6:$B$10,$B9,'Case C'!$C$6:$C$10,$D9))</f>
        <v/>
      </c>
      <c r="K9" s="11" t="str">
        <f aca="false">IF($D9="","",SUMIFS('Case C'!$AD$6:$AD$10,'Case C'!$B$6:$B$10,$B9,'Case C'!$C$6:$C$10,$D9))</f>
        <v/>
      </c>
      <c r="L9" s="11" t="str">
        <f aca="false">IF($D9="","",SUMIFS('Case D'!$X$6:$X$10,'Case D'!$B$6:$B$10,$B9,'Case D'!$C$6:$C$10,$D9))</f>
        <v/>
      </c>
      <c r="M9" s="11" t="str">
        <f aca="false">IF($D9="","",SUMIFS('Case D'!$AD$6:$AD$10,'Case D'!$B$6:$B$10,$B9,'Case D'!$C$6:$C$10,$D9))</f>
        <v/>
      </c>
      <c r="N9" s="12" t="str">
        <f aca="false">IF($D9="","",SUM(F9:M9))</f>
        <v/>
      </c>
      <c r="O9" s="11" t="str">
        <f aca="false">IF($D9="","",SUMIFS('Case A'!$AF$6:$AF$10,'Case A'!$B$6:$B$10,$B9,'Case A'!$C$6:$C$10,$D9)+SUMIFS('Case B'!$AF$6:$AF$10,'Case B'!$B$6:$B$10,$B9,'Case B'!$C$6:$C$10,$D9)+SUMIFS('Case C'!$AF$6:$AF$10,'Case C'!$B$6:$B$10,$B9,'Case C'!$C$6:$C$10,$D9)+SUMIFS('Case D'!$AF$6:$AF$10,'Case D'!$B$6:$B$10,$B9,'Case D'!$C$6:$C$10,$D9))</f>
        <v/>
      </c>
    </row>
    <row r="10" customFormat="false" ht="15" hidden="false" customHeight="false" outlineLevel="0" collapsed="false">
      <c r="A10" s="9" t="s">
        <v>50</v>
      </c>
      <c r="B10" s="9" t="s">
        <v>51</v>
      </c>
      <c r="C10" s="9" t="s">
        <v>52</v>
      </c>
      <c r="D10" s="10"/>
      <c r="E10" s="9" t="str">
        <f aca="false">IF($D10="","Not selected",IF(COUNTIFS(Trials!$B$6:$B$500,$B10,Trials!$C$6:$C$500,$D10,Trials!$E$6:$E$500,"submitted")=1,"OK","Not a submitted trial"))</f>
        <v>Not selected</v>
      </c>
      <c r="F10" s="11" t="str">
        <f aca="false">IF($D10="","",SUMIFS('Case A'!$X$6:$X$10,'Case A'!$B$6:$B$10,$B10,'Case A'!$C$6:$C$10,$D10))</f>
        <v/>
      </c>
      <c r="G10" s="11" t="str">
        <f aca="false">IF($D10="","",SUMIFS('Case A'!$AD$6:$AD$10,'Case A'!$B$6:$B$10,$B10,'Case A'!$C$6:$C$10,$D10))</f>
        <v/>
      </c>
      <c r="H10" s="11" t="str">
        <f aca="false">IF($D10="","",SUMIFS('Case B'!$X$6:$X$10,'Case B'!$B$6:$B$10,$B10,'Case B'!$C$6:$C$10,$D10))</f>
        <v/>
      </c>
      <c r="I10" s="11" t="str">
        <f aca="false">IF($D10="","",SUMIFS('Case B'!$AD$6:$AD$10,'Case B'!$B$6:$B$10,$B10,'Case B'!$C$6:$C$10,$D10))</f>
        <v/>
      </c>
      <c r="J10" s="11" t="str">
        <f aca="false">IF($D10="","",SUMIFS('Case C'!$X$6:$X$10,'Case C'!$B$6:$B$10,$B10,'Case C'!$C$6:$C$10,$D10))</f>
        <v/>
      </c>
      <c r="K10" s="11" t="str">
        <f aca="false">IF($D10="","",SUMIFS('Case C'!$AD$6:$AD$10,'Case C'!$B$6:$B$10,$B10,'Case C'!$C$6:$C$10,$D10))</f>
        <v/>
      </c>
      <c r="L10" s="11" t="str">
        <f aca="false">IF($D10="","",SUMIFS('Case D'!$X$6:$X$10,'Case D'!$B$6:$B$10,$B10,'Case D'!$C$6:$C$10,$D10))</f>
        <v/>
      </c>
      <c r="M10" s="11" t="str">
        <f aca="false">IF($D10="","",SUMIFS('Case D'!$AD$6:$AD$10,'Case D'!$B$6:$B$10,$B10,'Case D'!$C$6:$C$10,$D10))</f>
        <v/>
      </c>
      <c r="N10" s="12" t="str">
        <f aca="false">IF($D10="","",SUM(F10:M10))</f>
        <v/>
      </c>
      <c r="O10" s="11" t="str">
        <f aca="false">IF($D10="","",SUMIFS('Case A'!$AF$6:$AF$10,'Case A'!$B$6:$B$10,$B10,'Case A'!$C$6:$C$10,$D10)+SUMIFS('Case B'!$AF$6:$AF$10,'Case B'!$B$6:$B$10,$B10,'Case B'!$C$6:$C$10,$D10)+SUMIFS('Case C'!$AF$6:$AF$10,'Case C'!$B$6:$B$10,$B10,'Case C'!$C$6:$C$10,$D10)+SUMIFS('Case D'!$AF$6:$AF$10,'Case D'!$B$6:$B$10,$B10,'Case D'!$C$6:$C$10,$D10))</f>
        <v/>
      </c>
    </row>
  </sheetData>
  <autoFilter ref="A5:O10"/>
  <conditionalFormatting sqref="E6:E10">
    <cfRule type="expression" priority="2" aboveAverage="0" equalAverage="0" bottom="0" percent="0" rank="0" text="" dxfId="5">
      <formula>$E6="Not a submitted trial"</formula>
    </cfRule>
  </conditionalFormatting>
  <dataValidations count="1">
    <dataValidation allowBlank="true" error="Choose 1, 2 or 3." errorStyle="stop" errorTitle="Selected trial" operator="between" showDropDown="false" showErrorMessage="true" showInputMessage="false" sqref="D6:D10" type="list">
      <formula1>"1,2,3"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3" min="3" style="0" width="7"/>
    <col collapsed="false" customWidth="true" hidden="false" outlineLevel="0" max="4" min="4" style="0" width="9"/>
    <col collapsed="false" customWidth="true" hidden="false" outlineLevel="0" max="5" min="5" style="0" width="11"/>
    <col collapsed="false" customWidth="true" hidden="false" outlineLevel="0" max="7" min="6" style="0" width="26"/>
    <col collapsed="false" customWidth="true" hidden="false" outlineLevel="0" max="8" min="8" style="0" width="8"/>
    <col collapsed="false" customWidth="true" hidden="false" outlineLevel="0" max="9" min="9" style="0" width="44"/>
    <col collapsed="false" customWidth="true" hidden="false" outlineLevel="0" max="11" min="10" style="0" width="14"/>
  </cols>
  <sheetData>
    <row r="1" customFormat="false" ht="17.35" hidden="false" customHeight="false" outlineLevel="0" collapsed="false">
      <c r="A1" s="1" t="s">
        <v>53</v>
      </c>
    </row>
    <row r="2" customFormat="false" ht="15" hidden="false" customHeight="false" outlineLevel="0" collapsed="false">
      <c r="A2" s="7" t="s">
        <v>54</v>
      </c>
    </row>
    <row r="5" customFormat="false" ht="33.75" hidden="false" customHeight="true" outlineLevel="0" collapsed="false">
      <c r="A5" s="8" t="s">
        <v>25</v>
      </c>
      <c r="B5" s="8" t="s">
        <v>26</v>
      </c>
      <c r="C5" s="8" t="s">
        <v>55</v>
      </c>
      <c r="D5" s="8" t="s">
        <v>56</v>
      </c>
      <c r="E5" s="8" t="s">
        <v>57</v>
      </c>
      <c r="F5" s="8" t="s">
        <v>58</v>
      </c>
      <c r="G5" s="8" t="s">
        <v>59</v>
      </c>
      <c r="H5" s="8" t="s">
        <v>60</v>
      </c>
      <c r="I5" s="8" t="s">
        <v>61</v>
      </c>
      <c r="J5" s="8" t="s">
        <v>62</v>
      </c>
      <c r="K5" s="8" t="s">
        <v>63</v>
      </c>
    </row>
    <row r="6" customFormat="false" ht="23.85" hidden="false" customHeight="false" outlineLevel="0" collapsed="false">
      <c r="A6" s="13" t="s">
        <v>40</v>
      </c>
      <c r="B6" s="13" t="s">
        <v>41</v>
      </c>
      <c r="C6" s="13" t="n">
        <v>1</v>
      </c>
      <c r="D6" s="13" t="n">
        <v>1</v>
      </c>
      <c r="E6" s="13" t="s">
        <v>64</v>
      </c>
      <c r="F6" s="13" t="s">
        <v>65</v>
      </c>
      <c r="G6" s="13" t="s">
        <v>66</v>
      </c>
      <c r="H6" s="13" t="n">
        <v>0</v>
      </c>
      <c r="I6" s="13"/>
      <c r="J6" s="14" t="str">
        <f aca="false">IF(IFERROR(INDEX(Learners!$D$6:$D$500,MATCH($B6,Learners!$B$6:$B$500,0)),"")=$C6,"SELECTED","")</f>
        <v/>
      </c>
      <c r="K6" s="14" t="n">
        <f aca="false">SUMIFS('Case A'!$AE$6:$AE$10,'Case A'!$B$6:$B$10,$B6,'Case A'!$C$6:$C$10,$C6)+SUMIFS('Case B'!$AE$6:$AE$10,'Case B'!$B$6:$B$10,$B6,'Case B'!$C$6:$C$10,$C6)+SUMIFS('Case C'!$AE$6:$AE$10,'Case C'!$B$6:$B$10,$B6,'Case C'!$C$6:$C$10,$C6)+SUMIFS('Case D'!$AE$6:$AE$10,'Case D'!$B$6:$B$10,$B6,'Case D'!$C$6:$C$10,$C6)</f>
        <v>0</v>
      </c>
    </row>
    <row r="7" customFormat="false" ht="23.85" hidden="false" customHeight="false" outlineLevel="0" collapsed="false">
      <c r="A7" s="13" t="s">
        <v>40</v>
      </c>
      <c r="B7" s="13" t="s">
        <v>41</v>
      </c>
      <c r="C7" s="13" t="n">
        <v>2</v>
      </c>
      <c r="D7" s="13" t="n">
        <v>2</v>
      </c>
      <c r="E7" s="13" t="s">
        <v>64</v>
      </c>
      <c r="F7" s="13" t="s">
        <v>67</v>
      </c>
      <c r="G7" s="13" t="s">
        <v>68</v>
      </c>
      <c r="H7" s="13" t="n">
        <v>0</v>
      </c>
      <c r="I7" s="13"/>
      <c r="J7" s="14" t="str">
        <f aca="false">IF(IFERROR(INDEX(Learners!$D$6:$D$500,MATCH($B7,Learners!$B$6:$B$500,0)),"")=$C7,"SELECTED","")</f>
        <v/>
      </c>
      <c r="K7" s="14" t="n">
        <f aca="false">SUMIFS('Case A'!$AE$6:$AE$10,'Case A'!$B$6:$B$10,$B7,'Case A'!$C$6:$C$10,$C7)+SUMIFS('Case B'!$AE$6:$AE$10,'Case B'!$B$6:$B$10,$B7,'Case B'!$C$6:$C$10,$C7)+SUMIFS('Case C'!$AE$6:$AE$10,'Case C'!$B$6:$B$10,$B7,'Case C'!$C$6:$C$10,$C7)+SUMIFS('Case D'!$AE$6:$AE$10,'Case D'!$B$6:$B$10,$B7,'Case D'!$C$6:$C$10,$C7)</f>
        <v>0</v>
      </c>
    </row>
    <row r="8" customFormat="false" ht="23.85" hidden="false" customHeight="false" outlineLevel="0" collapsed="false">
      <c r="A8" s="13" t="s">
        <v>43</v>
      </c>
      <c r="B8" s="13" t="s">
        <v>44</v>
      </c>
      <c r="C8" s="13" t="n">
        <v>1</v>
      </c>
      <c r="D8" s="13" t="n">
        <v>1</v>
      </c>
      <c r="E8" s="13" t="s">
        <v>64</v>
      </c>
      <c r="F8" s="13" t="s">
        <v>69</v>
      </c>
      <c r="G8" s="13" t="s">
        <v>70</v>
      </c>
      <c r="H8" s="13" t="n">
        <v>0</v>
      </c>
      <c r="I8" s="13"/>
      <c r="J8" s="14" t="str">
        <f aca="false">IF(IFERROR(INDEX(Learners!$D$6:$D$500,MATCH($B8,Learners!$B$6:$B$500,0)),"")=$C8,"SELECTED","")</f>
        <v/>
      </c>
      <c r="K8" s="14" t="n">
        <f aca="false">SUMIFS('Case A'!$AE$6:$AE$10,'Case A'!$B$6:$B$10,$B8,'Case A'!$C$6:$C$10,$C8)+SUMIFS('Case B'!$AE$6:$AE$10,'Case B'!$B$6:$B$10,$B8,'Case B'!$C$6:$C$10,$C8)+SUMIFS('Case C'!$AE$6:$AE$10,'Case C'!$B$6:$B$10,$B8,'Case C'!$C$6:$C$10,$C8)+SUMIFS('Case D'!$AE$6:$AE$10,'Case D'!$B$6:$B$10,$B8,'Case D'!$C$6:$C$10,$C8)</f>
        <v>0</v>
      </c>
    </row>
    <row r="9" customFormat="false" ht="23.85" hidden="false" customHeight="false" outlineLevel="0" collapsed="false">
      <c r="A9" s="13" t="s">
        <v>46</v>
      </c>
      <c r="B9" s="13" t="s">
        <v>47</v>
      </c>
      <c r="C9" s="13" t="n">
        <v>1</v>
      </c>
      <c r="D9" s="13" t="n">
        <v>1</v>
      </c>
      <c r="E9" s="13" t="s">
        <v>64</v>
      </c>
      <c r="F9" s="13" t="s">
        <v>71</v>
      </c>
      <c r="G9" s="13" t="s">
        <v>72</v>
      </c>
      <c r="H9" s="13" t="n">
        <v>0</v>
      </c>
      <c r="I9" s="13"/>
      <c r="J9" s="14" t="str">
        <f aca="false">IF(IFERROR(INDEX(Learners!$D$6:$D$500,MATCH($B9,Learners!$B$6:$B$500,0)),"")=$C9,"SELECTED","")</f>
        <v/>
      </c>
      <c r="K9" s="14" t="n">
        <f aca="false">SUMIFS('Case A'!$AE$6:$AE$10,'Case A'!$B$6:$B$10,$B9,'Case A'!$C$6:$C$10,$C9)+SUMIFS('Case B'!$AE$6:$AE$10,'Case B'!$B$6:$B$10,$B9,'Case B'!$C$6:$C$10,$C9)+SUMIFS('Case C'!$AE$6:$AE$10,'Case C'!$B$6:$B$10,$B9,'Case C'!$C$6:$C$10,$C9)+SUMIFS('Case D'!$AE$6:$AE$10,'Case D'!$B$6:$B$10,$B9,'Case D'!$C$6:$C$10,$C9)</f>
        <v>0</v>
      </c>
    </row>
    <row r="10" customFormat="false" ht="30" hidden="false" customHeight="true" outlineLevel="0" collapsed="false">
      <c r="A10" s="13" t="s">
        <v>48</v>
      </c>
      <c r="B10" s="13" t="s">
        <v>49</v>
      </c>
      <c r="C10" s="13" t="n">
        <v>1</v>
      </c>
      <c r="D10" s="13" t="n">
        <v>1</v>
      </c>
      <c r="E10" s="13" t="s">
        <v>64</v>
      </c>
      <c r="F10" s="13" t="s">
        <v>73</v>
      </c>
      <c r="G10" s="13" t="s">
        <v>74</v>
      </c>
      <c r="H10" s="13" t="n">
        <v>0</v>
      </c>
      <c r="I10" s="13" t="s">
        <v>75</v>
      </c>
      <c r="J10" s="14" t="str">
        <f aca="false">IF(IFERROR(INDEX(Learners!$D$6:$D$500,MATCH($B10,Learners!$B$6:$B$500,0)),"")=$C10,"SELECTED","")</f>
        <v/>
      </c>
      <c r="K10" s="14" t="n">
        <f aca="false">SUMIFS('Case A'!$AE$6:$AE$10,'Case A'!$B$6:$B$10,$B10,'Case A'!$C$6:$C$10,$C10)+SUMIFS('Case B'!$AE$6:$AE$10,'Case B'!$B$6:$B$10,$B10,'Case B'!$C$6:$C$10,$C10)+SUMIFS('Case C'!$AE$6:$AE$10,'Case C'!$B$6:$B$10,$B10,'Case C'!$C$6:$C$10,$C10)+SUMIFS('Case D'!$AE$6:$AE$10,'Case D'!$B$6:$B$10,$B10,'Case D'!$C$6:$C$10,$C10)</f>
        <v>0</v>
      </c>
    </row>
    <row r="11" customFormat="false" ht="23.85" hidden="false" customHeight="false" outlineLevel="0" collapsed="false">
      <c r="A11" s="13" t="s">
        <v>50</v>
      </c>
      <c r="B11" s="13" t="s">
        <v>51</v>
      </c>
      <c r="C11" s="13" t="n">
        <v>1</v>
      </c>
      <c r="D11" s="13" t="n">
        <v>1</v>
      </c>
      <c r="E11" s="13" t="s">
        <v>76</v>
      </c>
      <c r="F11" s="13" t="s">
        <v>77</v>
      </c>
      <c r="G11" s="13"/>
      <c r="H11" s="13" t="n">
        <v>0</v>
      </c>
      <c r="I11" s="13"/>
      <c r="J11" s="14" t="str">
        <f aca="false">IF(IFERROR(INDEX(Learners!$D$6:$D$500,MATCH($B11,Learners!$B$6:$B$500,0)),"")=$C11,"SELECTED","")</f>
        <v/>
      </c>
      <c r="K11" s="14" t="s">
        <v>78</v>
      </c>
    </row>
  </sheetData>
  <autoFilter ref="A5:K11"/>
  <conditionalFormatting sqref="A6:K11">
    <cfRule type="expression" priority="2" aboveAverage="0" equalAverage="0" bottom="0" percent="0" rank="0" text="" dxfId="7">
      <formula>$J6="SELECTED"</formula>
    </cfRule>
    <cfRule type="expression" priority="3" aboveAverage="0" equalAverage="0" bottom="0" percent="0" rank="0" text="" dxfId="8">
      <formula>$E6="open"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33A"/>
    <pageSetUpPr fitToPage="false"/>
  </sheetPr>
  <dimension ref="A1:A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7"/>
    <col collapsed="false" customWidth="true" hidden="false" outlineLevel="0" max="4" min="4" style="0" width="12"/>
    <col collapsed="false" customWidth="true" hidden="false" outlineLevel="0" max="5" min="5" style="0" width="13"/>
    <col collapsed="false" customWidth="true" hidden="false" outlineLevel="0" max="7" min="6" style="0" width="9"/>
    <col collapsed="false" customWidth="true" hidden="false" outlineLevel="0" max="8" min="8" style="0" width="78"/>
    <col collapsed="false" customWidth="true" hidden="false" outlineLevel="0" max="9" min="9" style="0" width="52"/>
    <col collapsed="false" customWidth="true" hidden="false" outlineLevel="0" max="10" min="10" style="0" width="34"/>
    <col collapsed="false" customWidth="true" hidden="false" outlineLevel="0" max="11" min="11" style="0" width="60"/>
    <col collapsed="false" customWidth="true" hidden="false" outlineLevel="0" max="12" min="12" style="0" width="30"/>
    <col collapsed="false" customWidth="true" hidden="false" outlineLevel="0" max="13" min="13" style="0" width="34"/>
    <col collapsed="false" customWidth="true" hidden="false" outlineLevel="0" max="23" min="14" style="0" width="17"/>
    <col collapsed="false" customWidth="true" hidden="false" outlineLevel="0" max="24" min="24" style="0" width="11"/>
    <col collapsed="false" customWidth="true" hidden="false" outlineLevel="0" max="29" min="25" style="0" width="17"/>
    <col collapsed="false" customWidth="true" hidden="false" outlineLevel="0" max="32" min="30" style="0" width="12"/>
  </cols>
  <sheetData>
    <row r="1" customFormat="false" ht="17.35" hidden="false" customHeight="false" outlineLevel="0" collapsed="false">
      <c r="A1" s="1" t="s">
        <v>79</v>
      </c>
    </row>
    <row r="2" customFormat="false" ht="15" hidden="false" customHeight="false" outlineLevel="0" collapsed="false">
      <c r="A2" s="7" t="s">
        <v>80</v>
      </c>
    </row>
    <row r="3" customFormat="false" ht="15" hidden="false" customHeight="false" outlineLevel="0" collapsed="false">
      <c r="A3" s="7" t="s">
        <v>81</v>
      </c>
    </row>
    <row r="5" customFormat="false" ht="117.75" hidden="false" customHeight="true" outlineLevel="0" collapsed="false">
      <c r="A5" s="8" t="s">
        <v>25</v>
      </c>
      <c r="B5" s="8" t="s">
        <v>26</v>
      </c>
      <c r="C5" s="8" t="s">
        <v>55</v>
      </c>
      <c r="D5" s="8" t="s">
        <v>82</v>
      </c>
      <c r="E5" s="8" t="s">
        <v>83</v>
      </c>
      <c r="F5" s="8" t="s">
        <v>84</v>
      </c>
      <c r="G5" s="8" t="s">
        <v>85</v>
      </c>
      <c r="H5" s="8" t="s">
        <v>86</v>
      </c>
      <c r="I5" s="8" t="s">
        <v>87</v>
      </c>
      <c r="J5" s="8" t="s">
        <v>88</v>
      </c>
      <c r="K5" s="8" t="s">
        <v>89</v>
      </c>
      <c r="L5" s="8" t="s">
        <v>90</v>
      </c>
      <c r="M5" s="8" t="s">
        <v>91</v>
      </c>
      <c r="N5" s="15" t="s">
        <v>92</v>
      </c>
      <c r="O5" s="15" t="s">
        <v>93</v>
      </c>
      <c r="P5" s="15" t="s">
        <v>94</v>
      </c>
      <c r="Q5" s="15" t="s">
        <v>95</v>
      </c>
      <c r="R5" s="15" t="s">
        <v>96</v>
      </c>
      <c r="S5" s="15" t="s">
        <v>97</v>
      </c>
      <c r="T5" s="15" t="s">
        <v>98</v>
      </c>
      <c r="U5" s="15" t="s">
        <v>99</v>
      </c>
      <c r="V5" s="15" t="s">
        <v>100</v>
      </c>
      <c r="W5" s="15" t="s">
        <v>101</v>
      </c>
      <c r="X5" s="16" t="s">
        <v>102</v>
      </c>
      <c r="Y5" s="15" t="s">
        <v>103</v>
      </c>
      <c r="Z5" s="15" t="s">
        <v>104</v>
      </c>
      <c r="AA5" s="15" t="s">
        <v>105</v>
      </c>
      <c r="AB5" s="15" t="s">
        <v>106</v>
      </c>
      <c r="AC5" s="15" t="s">
        <v>107</v>
      </c>
      <c r="AD5" s="16" t="s">
        <v>108</v>
      </c>
      <c r="AE5" s="16" t="s">
        <v>109</v>
      </c>
      <c r="AF5" s="16" t="s">
        <v>110</v>
      </c>
    </row>
    <row r="6" customFormat="false" ht="399.75" hidden="false" customHeight="true" outlineLevel="0" collapsed="false">
      <c r="A6" s="13" t="s">
        <v>40</v>
      </c>
      <c r="B6" s="13" t="s">
        <v>41</v>
      </c>
      <c r="C6" s="13" t="n">
        <v>1</v>
      </c>
      <c r="D6" s="14" t="str">
        <f aca="false">IF(IFERROR(INDEX(Learners!$D$6:$D$500,MATCH($B6,Learners!$B$6:$B$500,0)),"")=$C6,"SELECTED","")</f>
        <v/>
      </c>
      <c r="E6" s="13" t="s">
        <v>111</v>
      </c>
      <c r="F6" s="13" t="n">
        <v>0</v>
      </c>
      <c r="G6" s="13" t="n">
        <v>5</v>
      </c>
      <c r="H6" s="13" t="s">
        <v>112</v>
      </c>
      <c r="I6" s="13" t="s">
        <v>113</v>
      </c>
      <c r="J6" s="13" t="s">
        <v>114</v>
      </c>
      <c r="K6" s="13" t="s">
        <v>115</v>
      </c>
      <c r="L6" s="13" t="s">
        <v>116</v>
      </c>
      <c r="M6" s="13" t="s">
        <v>117</v>
      </c>
      <c r="N6" s="17"/>
      <c r="O6" s="17"/>
      <c r="P6" s="17"/>
      <c r="Q6" s="17"/>
      <c r="R6" s="17"/>
      <c r="S6" s="17"/>
      <c r="T6" s="17"/>
      <c r="U6" s="17"/>
      <c r="V6" s="17"/>
      <c r="W6" s="17"/>
      <c r="X6" s="14" t="str">
        <f aca="false">IF(COUNT(N6:W6)=0,"",SUM(N6:W6))</f>
        <v/>
      </c>
      <c r="Y6" s="17"/>
      <c r="Z6" s="17"/>
      <c r="AA6" s="17"/>
      <c r="AB6" s="17"/>
      <c r="AC6" s="17"/>
      <c r="AD6" s="14" t="str">
        <f aca="false">IF(COUNT(Y6:AC6)=0,"",SUM(Y6:AC6))</f>
        <v/>
      </c>
      <c r="AE6" s="14" t="str">
        <f aca="false">IF(COUNT(N6:W6,Y6:AC6)=0,"",SUM(N6:W6,Y6:AC6))</f>
        <v/>
      </c>
      <c r="AF6" s="14" t="n">
        <f aca="false">COUNT(N6:W6,Y6:AC6)</f>
        <v>0</v>
      </c>
    </row>
    <row r="7" customFormat="false" ht="253.5" hidden="false" customHeight="true" outlineLevel="0" collapsed="false">
      <c r="A7" s="13" t="s">
        <v>40</v>
      </c>
      <c r="B7" s="13" t="s">
        <v>41</v>
      </c>
      <c r="C7" s="13" t="n">
        <v>2</v>
      </c>
      <c r="D7" s="14" t="str">
        <f aca="false">IF(IFERROR(INDEX(Learners!$D$6:$D$500,MATCH($B7,Learners!$B$6:$B$500,0)),"")=$C7,"SELECTED","")</f>
        <v/>
      </c>
      <c r="E7" s="13" t="s">
        <v>118</v>
      </c>
      <c r="F7" s="13" t="n">
        <v>0</v>
      </c>
      <c r="G7" s="13" t="n">
        <v>2</v>
      </c>
      <c r="H7" s="13" t="s">
        <v>119</v>
      </c>
      <c r="I7" s="13" t="s">
        <v>120</v>
      </c>
      <c r="J7" s="13"/>
      <c r="K7" s="13" t="s">
        <v>121</v>
      </c>
      <c r="L7" s="13" t="s">
        <v>122</v>
      </c>
      <c r="M7" s="13" t="s">
        <v>123</v>
      </c>
      <c r="N7" s="17"/>
      <c r="O7" s="17"/>
      <c r="P7" s="17"/>
      <c r="Q7" s="17"/>
      <c r="R7" s="17"/>
      <c r="S7" s="17"/>
      <c r="T7" s="17"/>
      <c r="U7" s="17"/>
      <c r="V7" s="17"/>
      <c r="W7" s="17"/>
      <c r="X7" s="14" t="str">
        <f aca="false">IF(COUNT(N7:W7)=0,"",SUM(N7:W7))</f>
        <v/>
      </c>
      <c r="Y7" s="17"/>
      <c r="Z7" s="17"/>
      <c r="AA7" s="17"/>
      <c r="AB7" s="17"/>
      <c r="AC7" s="17"/>
      <c r="AD7" s="14" t="str">
        <f aca="false">IF(COUNT(Y7:AC7)=0,"",SUM(Y7:AC7))</f>
        <v/>
      </c>
      <c r="AE7" s="14" t="str">
        <f aca="false">IF(COUNT(N7:W7,Y7:AC7)=0,"",SUM(N7:W7,Y7:AC7))</f>
        <v/>
      </c>
      <c r="AF7" s="14" t="n">
        <f aca="false">COUNT(N7:W7,Y7:AC7)</f>
        <v>0</v>
      </c>
    </row>
    <row r="8" customFormat="false" ht="399.75" hidden="false" customHeight="true" outlineLevel="0" collapsed="false">
      <c r="A8" s="13" t="s">
        <v>43</v>
      </c>
      <c r="B8" s="13" t="s">
        <v>44</v>
      </c>
      <c r="C8" s="13" t="n">
        <v>1</v>
      </c>
      <c r="D8" s="14" t="str">
        <f aca="false">IF(IFERROR(INDEX(Learners!$D$6:$D$500,MATCH($B8,Learners!$B$6:$B$500,0)),"")=$C8,"SELECTED","")</f>
        <v/>
      </c>
      <c r="E8" s="13" t="s">
        <v>111</v>
      </c>
      <c r="F8" s="13" t="n">
        <v>0</v>
      </c>
      <c r="G8" s="13" t="n">
        <v>5</v>
      </c>
      <c r="H8" s="13" t="s">
        <v>124</v>
      </c>
      <c r="I8" s="13" t="s">
        <v>113</v>
      </c>
      <c r="J8" s="13" t="s">
        <v>114</v>
      </c>
      <c r="K8" s="13" t="s">
        <v>115</v>
      </c>
      <c r="L8" s="13" t="s">
        <v>116</v>
      </c>
      <c r="M8" s="13" t="s">
        <v>117</v>
      </c>
      <c r="N8" s="17"/>
      <c r="O8" s="17"/>
      <c r="P8" s="17"/>
      <c r="Q8" s="17"/>
      <c r="R8" s="17"/>
      <c r="S8" s="17"/>
      <c r="T8" s="17"/>
      <c r="U8" s="17"/>
      <c r="V8" s="17"/>
      <c r="W8" s="17"/>
      <c r="X8" s="14" t="str">
        <f aca="false">IF(COUNT(N8:W8)=0,"",SUM(N8:W8))</f>
        <v/>
      </c>
      <c r="Y8" s="17"/>
      <c r="Z8" s="17"/>
      <c r="AA8" s="17"/>
      <c r="AB8" s="17"/>
      <c r="AC8" s="17"/>
      <c r="AD8" s="14" t="str">
        <f aca="false">IF(COUNT(Y8:AC8)=0,"",SUM(Y8:AC8))</f>
        <v/>
      </c>
      <c r="AE8" s="14" t="str">
        <f aca="false">IF(COUNT(N8:W8,Y8:AC8)=0,"",SUM(N8:W8,Y8:AC8))</f>
        <v/>
      </c>
      <c r="AF8" s="14" t="n">
        <f aca="false">COUNT(N8:W8,Y8:AC8)</f>
        <v>0</v>
      </c>
    </row>
    <row r="9" customFormat="false" ht="303.75" hidden="false" customHeight="true" outlineLevel="0" collapsed="false">
      <c r="A9" s="13" t="s">
        <v>46</v>
      </c>
      <c r="B9" s="13" t="s">
        <v>47</v>
      </c>
      <c r="C9" s="13" t="n">
        <v>1</v>
      </c>
      <c r="D9" s="14" t="str">
        <f aca="false">IF(IFERROR(INDEX(Learners!$D$6:$D$500,MATCH($B9,Learners!$B$6:$B$500,0)),"")=$C9,"SELECTED","")</f>
        <v/>
      </c>
      <c r="E9" s="13" t="s">
        <v>118</v>
      </c>
      <c r="F9" s="13" t="n">
        <v>0</v>
      </c>
      <c r="G9" s="13" t="n">
        <v>3</v>
      </c>
      <c r="H9" s="13" t="s">
        <v>125</v>
      </c>
      <c r="I9" s="13" t="s">
        <v>126</v>
      </c>
      <c r="J9" s="13" t="s">
        <v>127</v>
      </c>
      <c r="K9" s="13" t="s">
        <v>128</v>
      </c>
      <c r="L9" s="13" t="s">
        <v>129</v>
      </c>
      <c r="M9" s="13" t="s">
        <v>117</v>
      </c>
      <c r="N9" s="17"/>
      <c r="O9" s="17"/>
      <c r="P9" s="17"/>
      <c r="Q9" s="17"/>
      <c r="R9" s="17"/>
      <c r="S9" s="17"/>
      <c r="T9" s="17"/>
      <c r="U9" s="17"/>
      <c r="V9" s="17"/>
      <c r="W9" s="17"/>
      <c r="X9" s="14" t="str">
        <f aca="false">IF(COUNT(N9:W9)=0,"",SUM(N9:W9))</f>
        <v/>
      </c>
      <c r="Y9" s="17"/>
      <c r="Z9" s="17"/>
      <c r="AA9" s="17"/>
      <c r="AB9" s="17"/>
      <c r="AC9" s="17"/>
      <c r="AD9" s="14" t="str">
        <f aca="false">IF(COUNT(Y9:AC9)=0,"",SUM(Y9:AC9))</f>
        <v/>
      </c>
      <c r="AE9" s="14" t="str">
        <f aca="false">IF(COUNT(N9:W9,Y9:AC9)=0,"",SUM(N9:W9,Y9:AC9))</f>
        <v/>
      </c>
      <c r="AF9" s="14" t="n">
        <f aca="false">COUNT(N9:W9,Y9:AC9)</f>
        <v>0</v>
      </c>
    </row>
    <row r="10" customFormat="false" ht="166.5" hidden="false" customHeight="true" outlineLevel="0" collapsed="false">
      <c r="A10" s="13" t="s">
        <v>48</v>
      </c>
      <c r="B10" s="13" t="s">
        <v>49</v>
      </c>
      <c r="C10" s="13" t="n">
        <v>1</v>
      </c>
      <c r="D10" s="14" t="str">
        <f aca="false">IF(IFERROR(INDEX(Learners!$D$6:$D$500,MATCH($B10,Learners!$B$6:$B$500,0)),"")=$C10,"SELECTED","")</f>
        <v/>
      </c>
      <c r="E10" s="13" t="s">
        <v>111</v>
      </c>
      <c r="F10" s="13" t="n">
        <v>3</v>
      </c>
      <c r="G10" s="13" t="n">
        <v>0</v>
      </c>
      <c r="H10" s="13" t="s">
        <v>130</v>
      </c>
      <c r="I10" s="13" t="s">
        <v>120</v>
      </c>
      <c r="J10" s="13" t="s">
        <v>131</v>
      </c>
      <c r="K10" s="13"/>
      <c r="L10" s="13" t="s">
        <v>132</v>
      </c>
      <c r="M10" s="13" t="s">
        <v>117</v>
      </c>
      <c r="N10" s="17"/>
      <c r="O10" s="17"/>
      <c r="P10" s="17"/>
      <c r="Q10" s="17"/>
      <c r="R10" s="17"/>
      <c r="S10" s="17"/>
      <c r="T10" s="17"/>
      <c r="U10" s="17"/>
      <c r="V10" s="17"/>
      <c r="W10" s="17"/>
      <c r="X10" s="14" t="str">
        <f aca="false">IF(COUNT(N10:W10)=0,"",SUM(N10:W10))</f>
        <v/>
      </c>
      <c r="Y10" s="17"/>
      <c r="Z10" s="17"/>
      <c r="AA10" s="17"/>
      <c r="AB10" s="17"/>
      <c r="AC10" s="17"/>
      <c r="AD10" s="14" t="str">
        <f aca="false">IF(COUNT(Y10:AC10)=0,"",SUM(Y10:AC10))</f>
        <v/>
      </c>
      <c r="AE10" s="14" t="str">
        <f aca="false">IF(COUNT(N10:W10,Y10:AC10)=0,"",SUM(N10:W10,Y10:AC10))</f>
        <v/>
      </c>
      <c r="AF10" s="14" t="n">
        <f aca="false">COUNT(N10:W10,Y10:AC10)</f>
        <v>0</v>
      </c>
    </row>
  </sheetData>
  <autoFilter ref="A5:AF10"/>
  <conditionalFormatting sqref="A6:M10">
    <cfRule type="expression" priority="2" aboveAverage="0" equalAverage="0" bottom="0" percent="0" rank="0" text="" dxfId="7">
      <formula>$D6="SELECTED"</formula>
    </cfRule>
  </conditionalFormatting>
  <dataValidations count="2">
    <dataValidation allowBlank="true" error="Enter 0, 1 or 2." errorStyle="stop" errorTitle="Reply score" operator="between" showDropDown="false" showErrorMessage="true" showInputMessage="false" sqref="N6:W10" type="whole">
      <formula1>0</formula1>
      <formula2>2</formula2>
    </dataValidation>
    <dataValidation allowBlank="true" error="Enter 0 or 1." errorStyle="stop" errorTitle="Note score" operator="between" showDropDown="false" showErrorMessage="true" showInputMessage="false" sqref="Y6:AC10"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33A"/>
    <pageSetUpPr fitToPage="false"/>
  </sheetPr>
  <dimension ref="A1:A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7"/>
    <col collapsed="false" customWidth="true" hidden="false" outlineLevel="0" max="4" min="4" style="0" width="12"/>
    <col collapsed="false" customWidth="true" hidden="false" outlineLevel="0" max="5" min="5" style="0" width="13"/>
    <col collapsed="false" customWidth="true" hidden="false" outlineLevel="0" max="7" min="6" style="0" width="9"/>
    <col collapsed="false" customWidth="true" hidden="false" outlineLevel="0" max="8" min="8" style="0" width="78"/>
    <col collapsed="false" customWidth="true" hidden="false" outlineLevel="0" max="9" min="9" style="0" width="52"/>
    <col collapsed="false" customWidth="true" hidden="false" outlineLevel="0" max="10" min="10" style="0" width="34"/>
    <col collapsed="false" customWidth="true" hidden="false" outlineLevel="0" max="11" min="11" style="0" width="60"/>
    <col collapsed="false" customWidth="true" hidden="false" outlineLevel="0" max="12" min="12" style="0" width="30"/>
    <col collapsed="false" customWidth="true" hidden="false" outlineLevel="0" max="13" min="13" style="0" width="34"/>
    <col collapsed="false" customWidth="true" hidden="false" outlineLevel="0" max="23" min="14" style="0" width="17"/>
    <col collapsed="false" customWidth="true" hidden="false" outlineLevel="0" max="24" min="24" style="0" width="11"/>
    <col collapsed="false" customWidth="true" hidden="false" outlineLevel="0" max="29" min="25" style="0" width="17"/>
    <col collapsed="false" customWidth="true" hidden="false" outlineLevel="0" max="32" min="30" style="0" width="12"/>
  </cols>
  <sheetData>
    <row r="1" customFormat="false" ht="17.35" hidden="false" customHeight="false" outlineLevel="0" collapsed="false">
      <c r="A1" s="1" t="s">
        <v>133</v>
      </c>
    </row>
    <row r="2" customFormat="false" ht="15" hidden="false" customHeight="false" outlineLevel="0" collapsed="false">
      <c r="A2" s="7" t="s">
        <v>134</v>
      </c>
    </row>
    <row r="3" customFormat="false" ht="15" hidden="false" customHeight="false" outlineLevel="0" collapsed="false">
      <c r="A3" s="7" t="s">
        <v>81</v>
      </c>
    </row>
    <row r="5" customFormat="false" ht="117.75" hidden="false" customHeight="true" outlineLevel="0" collapsed="false">
      <c r="A5" s="8" t="s">
        <v>25</v>
      </c>
      <c r="B5" s="8" t="s">
        <v>26</v>
      </c>
      <c r="C5" s="8" t="s">
        <v>55</v>
      </c>
      <c r="D5" s="8" t="s">
        <v>82</v>
      </c>
      <c r="E5" s="8" t="s">
        <v>83</v>
      </c>
      <c r="F5" s="8" t="s">
        <v>84</v>
      </c>
      <c r="G5" s="8" t="s">
        <v>85</v>
      </c>
      <c r="H5" s="8" t="s">
        <v>86</v>
      </c>
      <c r="I5" s="8" t="s">
        <v>87</v>
      </c>
      <c r="J5" s="8" t="s">
        <v>88</v>
      </c>
      <c r="K5" s="8" t="s">
        <v>89</v>
      </c>
      <c r="L5" s="8" t="s">
        <v>90</v>
      </c>
      <c r="M5" s="8" t="s">
        <v>91</v>
      </c>
      <c r="N5" s="15" t="s">
        <v>92</v>
      </c>
      <c r="O5" s="15" t="s">
        <v>93</v>
      </c>
      <c r="P5" s="15" t="s">
        <v>94</v>
      </c>
      <c r="Q5" s="15" t="s">
        <v>95</v>
      </c>
      <c r="R5" s="15" t="s">
        <v>96</v>
      </c>
      <c r="S5" s="15" t="s">
        <v>97</v>
      </c>
      <c r="T5" s="15" t="s">
        <v>98</v>
      </c>
      <c r="U5" s="15" t="s">
        <v>135</v>
      </c>
      <c r="V5" s="15" t="s">
        <v>136</v>
      </c>
      <c r="W5" s="15" t="s">
        <v>137</v>
      </c>
      <c r="X5" s="16" t="s">
        <v>102</v>
      </c>
      <c r="Y5" s="15" t="s">
        <v>103</v>
      </c>
      <c r="Z5" s="15" t="s">
        <v>104</v>
      </c>
      <c r="AA5" s="15" t="s">
        <v>105</v>
      </c>
      <c r="AB5" s="15" t="s">
        <v>106</v>
      </c>
      <c r="AC5" s="15" t="s">
        <v>107</v>
      </c>
      <c r="AD5" s="16" t="s">
        <v>108</v>
      </c>
      <c r="AE5" s="16" t="s">
        <v>109</v>
      </c>
      <c r="AF5" s="16" t="s">
        <v>110</v>
      </c>
    </row>
    <row r="6" customFormat="false" ht="399.75" hidden="false" customHeight="true" outlineLevel="0" collapsed="false">
      <c r="A6" s="13" t="s">
        <v>40</v>
      </c>
      <c r="B6" s="13" t="s">
        <v>41</v>
      </c>
      <c r="C6" s="13" t="n">
        <v>1</v>
      </c>
      <c r="D6" s="14" t="str">
        <f aca="false">IF(IFERROR(INDEX(Learners!$D$6:$D$500,MATCH($B6,Learners!$B$6:$B$500,0)),"")=$C6,"SELECTED","")</f>
        <v/>
      </c>
      <c r="E6" s="13" t="s">
        <v>111</v>
      </c>
      <c r="F6" s="13" t="n">
        <v>0</v>
      </c>
      <c r="G6" s="13" t="n">
        <v>3</v>
      </c>
      <c r="H6" s="13" t="s">
        <v>138</v>
      </c>
      <c r="I6" s="13" t="s">
        <v>139</v>
      </c>
      <c r="J6" s="13" t="s">
        <v>140</v>
      </c>
      <c r="K6" s="13" t="s">
        <v>141</v>
      </c>
      <c r="L6" s="13" t="s">
        <v>142</v>
      </c>
      <c r="M6" s="13" t="s">
        <v>143</v>
      </c>
      <c r="N6" s="17"/>
      <c r="O6" s="17"/>
      <c r="P6" s="17"/>
      <c r="Q6" s="17"/>
      <c r="R6" s="17"/>
      <c r="S6" s="17"/>
      <c r="T6" s="17"/>
      <c r="U6" s="17"/>
      <c r="V6" s="17"/>
      <c r="W6" s="17"/>
      <c r="X6" s="14" t="str">
        <f aca="false">IF(COUNT(N6:W6)=0,"",SUM(N6:W6))</f>
        <v/>
      </c>
      <c r="Y6" s="17"/>
      <c r="Z6" s="17"/>
      <c r="AA6" s="17"/>
      <c r="AB6" s="17"/>
      <c r="AC6" s="17"/>
      <c r="AD6" s="14" t="str">
        <f aca="false">IF(COUNT(Y6:AC6)=0,"",SUM(Y6:AC6))</f>
        <v/>
      </c>
      <c r="AE6" s="14" t="str">
        <f aca="false">IF(COUNT(N6:W6,Y6:AC6)=0,"",SUM(N6:W6,Y6:AC6))</f>
        <v/>
      </c>
      <c r="AF6" s="14" t="n">
        <f aca="false">COUNT(N6:W6,Y6:AC6)</f>
        <v>0</v>
      </c>
    </row>
    <row r="7" customFormat="false" ht="341.25" hidden="false" customHeight="true" outlineLevel="0" collapsed="false">
      <c r="A7" s="13" t="s">
        <v>40</v>
      </c>
      <c r="B7" s="13" t="s">
        <v>41</v>
      </c>
      <c r="C7" s="13" t="n">
        <v>2</v>
      </c>
      <c r="D7" s="14" t="str">
        <f aca="false">IF(IFERROR(INDEX(Learners!$D$6:$D$500,MATCH($B7,Learners!$B$6:$B$500,0)),"")=$C7,"SELECTED","")</f>
        <v/>
      </c>
      <c r="E7" s="13" t="s">
        <v>118</v>
      </c>
      <c r="F7" s="13" t="n">
        <v>0</v>
      </c>
      <c r="G7" s="13" t="n">
        <v>2</v>
      </c>
      <c r="H7" s="13" t="s">
        <v>144</v>
      </c>
      <c r="I7" s="13" t="s">
        <v>145</v>
      </c>
      <c r="J7" s="13"/>
      <c r="K7" s="13" t="s">
        <v>146</v>
      </c>
      <c r="L7" s="13" t="s">
        <v>147</v>
      </c>
      <c r="M7" s="13" t="s">
        <v>148</v>
      </c>
      <c r="N7" s="17"/>
      <c r="O7" s="17"/>
      <c r="P7" s="17"/>
      <c r="Q7" s="17"/>
      <c r="R7" s="17"/>
      <c r="S7" s="17"/>
      <c r="T7" s="17"/>
      <c r="U7" s="17"/>
      <c r="V7" s="17"/>
      <c r="W7" s="17"/>
      <c r="X7" s="14" t="str">
        <f aca="false">IF(COUNT(N7:W7)=0,"",SUM(N7:W7))</f>
        <v/>
      </c>
      <c r="Y7" s="17"/>
      <c r="Z7" s="17"/>
      <c r="AA7" s="17"/>
      <c r="AB7" s="17"/>
      <c r="AC7" s="17"/>
      <c r="AD7" s="14" t="str">
        <f aca="false">IF(COUNT(Y7:AC7)=0,"",SUM(Y7:AC7))</f>
        <v/>
      </c>
      <c r="AE7" s="14" t="str">
        <f aca="false">IF(COUNT(N7:W7,Y7:AC7)=0,"",SUM(N7:W7,Y7:AC7))</f>
        <v/>
      </c>
      <c r="AF7" s="14" t="n">
        <f aca="false">COUNT(N7:W7,Y7:AC7)</f>
        <v>0</v>
      </c>
    </row>
    <row r="8" customFormat="false" ht="399.75" hidden="false" customHeight="true" outlineLevel="0" collapsed="false">
      <c r="A8" s="13" t="s">
        <v>43</v>
      </c>
      <c r="B8" s="13" t="s">
        <v>44</v>
      </c>
      <c r="C8" s="13" t="n">
        <v>1</v>
      </c>
      <c r="D8" s="14" t="str">
        <f aca="false">IF(IFERROR(INDEX(Learners!$D$6:$D$500,MATCH($B8,Learners!$B$6:$B$500,0)),"")=$C8,"SELECTED","")</f>
        <v/>
      </c>
      <c r="E8" s="13" t="s">
        <v>111</v>
      </c>
      <c r="F8" s="13" t="n">
        <v>0</v>
      </c>
      <c r="G8" s="13" t="n">
        <v>3</v>
      </c>
      <c r="H8" s="13" t="s">
        <v>149</v>
      </c>
      <c r="I8" s="13" t="s">
        <v>139</v>
      </c>
      <c r="J8" s="13" t="s">
        <v>140</v>
      </c>
      <c r="K8" s="13" t="s">
        <v>141</v>
      </c>
      <c r="L8" s="13" t="s">
        <v>142</v>
      </c>
      <c r="M8" s="13" t="s">
        <v>143</v>
      </c>
      <c r="N8" s="17"/>
      <c r="O8" s="17"/>
      <c r="P8" s="17"/>
      <c r="Q8" s="17"/>
      <c r="R8" s="17"/>
      <c r="S8" s="17"/>
      <c r="T8" s="17"/>
      <c r="U8" s="17"/>
      <c r="V8" s="17"/>
      <c r="W8" s="17"/>
      <c r="X8" s="14" t="str">
        <f aca="false">IF(COUNT(N8:W8)=0,"",SUM(N8:W8))</f>
        <v/>
      </c>
      <c r="Y8" s="17"/>
      <c r="Z8" s="17"/>
      <c r="AA8" s="17"/>
      <c r="AB8" s="17"/>
      <c r="AC8" s="17"/>
      <c r="AD8" s="14" t="str">
        <f aca="false">IF(COUNT(Y8:AC8)=0,"",SUM(Y8:AC8))</f>
        <v/>
      </c>
      <c r="AE8" s="14" t="str">
        <f aca="false">IF(COUNT(N8:W8,Y8:AC8)=0,"",SUM(N8:W8,Y8:AC8))</f>
        <v/>
      </c>
      <c r="AF8" s="14" t="n">
        <f aca="false">COUNT(N8:W8,Y8:AC8)</f>
        <v>0</v>
      </c>
    </row>
    <row r="9" customFormat="false" ht="399.75" hidden="false" customHeight="true" outlineLevel="0" collapsed="false">
      <c r="A9" s="13" t="s">
        <v>46</v>
      </c>
      <c r="B9" s="13" t="s">
        <v>47</v>
      </c>
      <c r="C9" s="13" t="n">
        <v>1</v>
      </c>
      <c r="D9" s="14" t="str">
        <f aca="false">IF(IFERROR(INDEX(Learners!$D$6:$D$500,MATCH($B9,Learners!$B$6:$B$500,0)),"")=$C9,"SELECTED","")</f>
        <v/>
      </c>
      <c r="E9" s="13" t="s">
        <v>111</v>
      </c>
      <c r="F9" s="13" t="n">
        <v>3</v>
      </c>
      <c r="G9" s="13" t="n">
        <v>2</v>
      </c>
      <c r="H9" s="13" t="s">
        <v>150</v>
      </c>
      <c r="I9" s="13" t="s">
        <v>151</v>
      </c>
      <c r="J9" s="13" t="s">
        <v>152</v>
      </c>
      <c r="K9" s="13" t="s">
        <v>153</v>
      </c>
      <c r="L9" s="13" t="s">
        <v>154</v>
      </c>
      <c r="M9" s="13" t="s">
        <v>143</v>
      </c>
      <c r="N9" s="17"/>
      <c r="O9" s="17"/>
      <c r="P9" s="17"/>
      <c r="Q9" s="17"/>
      <c r="R9" s="17"/>
      <c r="S9" s="17"/>
      <c r="T9" s="17"/>
      <c r="U9" s="17"/>
      <c r="V9" s="17"/>
      <c r="W9" s="17"/>
      <c r="X9" s="14" t="str">
        <f aca="false">IF(COUNT(N9:W9)=0,"",SUM(N9:W9))</f>
        <v/>
      </c>
      <c r="Y9" s="17"/>
      <c r="Z9" s="17"/>
      <c r="AA9" s="17"/>
      <c r="AB9" s="17"/>
      <c r="AC9" s="17"/>
      <c r="AD9" s="14" t="str">
        <f aca="false">IF(COUNT(Y9:AC9)=0,"",SUM(Y9:AC9))</f>
        <v/>
      </c>
      <c r="AE9" s="14" t="str">
        <f aca="false">IF(COUNT(N9:W9,Y9:AC9)=0,"",SUM(N9:W9,Y9:AC9))</f>
        <v/>
      </c>
      <c r="AF9" s="14" t="n">
        <f aca="false">COUNT(N9:W9,Y9:AC9)</f>
        <v>0</v>
      </c>
    </row>
    <row r="10" customFormat="false" ht="341.25" hidden="false" customHeight="true" outlineLevel="0" collapsed="false">
      <c r="A10" s="13" t="s">
        <v>48</v>
      </c>
      <c r="B10" s="13" t="s">
        <v>49</v>
      </c>
      <c r="C10" s="13" t="n">
        <v>1</v>
      </c>
      <c r="D10" s="14" t="str">
        <f aca="false">IF(IFERROR(INDEX(Learners!$D$6:$D$500,MATCH($B10,Learners!$B$6:$B$500,0)),"")=$C10,"SELECTED","")</f>
        <v/>
      </c>
      <c r="E10" s="13" t="s">
        <v>118</v>
      </c>
      <c r="F10" s="13" t="n">
        <v>0</v>
      </c>
      <c r="G10" s="13" t="n">
        <v>2</v>
      </c>
      <c r="H10" s="13" t="s">
        <v>155</v>
      </c>
      <c r="I10" s="13" t="s">
        <v>145</v>
      </c>
      <c r="J10" s="13"/>
      <c r="K10" s="13" t="s">
        <v>156</v>
      </c>
      <c r="L10" s="13" t="s">
        <v>157</v>
      </c>
      <c r="M10" s="13" t="s">
        <v>143</v>
      </c>
      <c r="N10" s="17"/>
      <c r="O10" s="17"/>
      <c r="P10" s="17"/>
      <c r="Q10" s="17"/>
      <c r="R10" s="17"/>
      <c r="S10" s="17"/>
      <c r="T10" s="17"/>
      <c r="U10" s="17"/>
      <c r="V10" s="17"/>
      <c r="W10" s="17"/>
      <c r="X10" s="14" t="str">
        <f aca="false">IF(COUNT(N10:W10)=0,"",SUM(N10:W10))</f>
        <v/>
      </c>
      <c r="Y10" s="17"/>
      <c r="Z10" s="17"/>
      <c r="AA10" s="17"/>
      <c r="AB10" s="17"/>
      <c r="AC10" s="17"/>
      <c r="AD10" s="14" t="str">
        <f aca="false">IF(COUNT(Y10:AC10)=0,"",SUM(Y10:AC10))</f>
        <v/>
      </c>
      <c r="AE10" s="14" t="str">
        <f aca="false">IF(COUNT(N10:W10,Y10:AC10)=0,"",SUM(N10:W10,Y10:AC10))</f>
        <v/>
      </c>
      <c r="AF10" s="14" t="n">
        <f aca="false">COUNT(N10:W10,Y10:AC10)</f>
        <v>0</v>
      </c>
    </row>
  </sheetData>
  <autoFilter ref="A5:AF10"/>
  <conditionalFormatting sqref="A6:M10">
    <cfRule type="expression" priority="2" aboveAverage="0" equalAverage="0" bottom="0" percent="0" rank="0" text="" dxfId="7">
      <formula>$D6="SELECTED"</formula>
    </cfRule>
  </conditionalFormatting>
  <dataValidations count="2">
    <dataValidation allowBlank="true" error="Enter 0, 1 or 2." errorStyle="stop" errorTitle="Reply score" operator="between" showDropDown="false" showErrorMessage="true" showInputMessage="false" sqref="N6:W10" type="whole">
      <formula1>0</formula1>
      <formula2>2</formula2>
    </dataValidation>
    <dataValidation allowBlank="true" error="Enter 0 or 1." errorStyle="stop" errorTitle="Note score" operator="between" showDropDown="false" showErrorMessage="true" showInputMessage="false" sqref="Y6:AC10"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33A"/>
    <pageSetUpPr fitToPage="false"/>
  </sheetPr>
  <dimension ref="A1:A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7"/>
    <col collapsed="false" customWidth="true" hidden="false" outlineLevel="0" max="4" min="4" style="0" width="12"/>
    <col collapsed="false" customWidth="true" hidden="false" outlineLevel="0" max="5" min="5" style="0" width="13"/>
    <col collapsed="false" customWidth="true" hidden="false" outlineLevel="0" max="7" min="6" style="0" width="9"/>
    <col collapsed="false" customWidth="true" hidden="false" outlineLevel="0" max="8" min="8" style="0" width="78"/>
    <col collapsed="false" customWidth="true" hidden="false" outlineLevel="0" max="9" min="9" style="0" width="52"/>
    <col collapsed="false" customWidth="true" hidden="false" outlineLevel="0" max="10" min="10" style="0" width="34"/>
    <col collapsed="false" customWidth="true" hidden="false" outlineLevel="0" max="11" min="11" style="0" width="60"/>
    <col collapsed="false" customWidth="true" hidden="false" outlineLevel="0" max="12" min="12" style="0" width="30"/>
    <col collapsed="false" customWidth="true" hidden="false" outlineLevel="0" max="13" min="13" style="0" width="34"/>
    <col collapsed="false" customWidth="true" hidden="false" outlineLevel="0" max="23" min="14" style="0" width="17"/>
    <col collapsed="false" customWidth="true" hidden="false" outlineLevel="0" max="24" min="24" style="0" width="11"/>
    <col collapsed="false" customWidth="true" hidden="false" outlineLevel="0" max="29" min="25" style="0" width="17"/>
    <col collapsed="false" customWidth="true" hidden="false" outlineLevel="0" max="32" min="30" style="0" width="12"/>
  </cols>
  <sheetData>
    <row r="1" customFormat="false" ht="17.35" hidden="false" customHeight="false" outlineLevel="0" collapsed="false">
      <c r="A1" s="1" t="s">
        <v>158</v>
      </c>
    </row>
    <row r="2" customFormat="false" ht="15" hidden="false" customHeight="false" outlineLevel="0" collapsed="false">
      <c r="A2" s="7" t="s">
        <v>159</v>
      </c>
    </row>
    <row r="3" customFormat="false" ht="15" hidden="false" customHeight="false" outlineLevel="0" collapsed="false">
      <c r="A3" s="7" t="s">
        <v>81</v>
      </c>
    </row>
    <row r="5" customFormat="false" ht="117.75" hidden="false" customHeight="true" outlineLevel="0" collapsed="false">
      <c r="A5" s="8" t="s">
        <v>25</v>
      </c>
      <c r="B5" s="8" t="s">
        <v>26</v>
      </c>
      <c r="C5" s="8" t="s">
        <v>55</v>
      </c>
      <c r="D5" s="8" t="s">
        <v>82</v>
      </c>
      <c r="E5" s="8" t="s">
        <v>83</v>
      </c>
      <c r="F5" s="8" t="s">
        <v>84</v>
      </c>
      <c r="G5" s="8" t="s">
        <v>85</v>
      </c>
      <c r="H5" s="8" t="s">
        <v>86</v>
      </c>
      <c r="I5" s="8" t="s">
        <v>87</v>
      </c>
      <c r="J5" s="8" t="s">
        <v>88</v>
      </c>
      <c r="K5" s="8" t="s">
        <v>89</v>
      </c>
      <c r="L5" s="8" t="s">
        <v>90</v>
      </c>
      <c r="M5" s="8" t="s">
        <v>91</v>
      </c>
      <c r="N5" s="15" t="s">
        <v>92</v>
      </c>
      <c r="O5" s="15" t="s">
        <v>93</v>
      </c>
      <c r="P5" s="15" t="s">
        <v>94</v>
      </c>
      <c r="Q5" s="15" t="s">
        <v>95</v>
      </c>
      <c r="R5" s="15" t="s">
        <v>96</v>
      </c>
      <c r="S5" s="15" t="s">
        <v>97</v>
      </c>
      <c r="T5" s="15" t="s">
        <v>98</v>
      </c>
      <c r="U5" s="15" t="s">
        <v>160</v>
      </c>
      <c r="V5" s="15" t="s">
        <v>161</v>
      </c>
      <c r="W5" s="15" t="s">
        <v>162</v>
      </c>
      <c r="X5" s="16" t="s">
        <v>102</v>
      </c>
      <c r="Y5" s="15" t="s">
        <v>103</v>
      </c>
      <c r="Z5" s="15" t="s">
        <v>104</v>
      </c>
      <c r="AA5" s="15" t="s">
        <v>105</v>
      </c>
      <c r="AB5" s="15" t="s">
        <v>106</v>
      </c>
      <c r="AC5" s="15" t="s">
        <v>107</v>
      </c>
      <c r="AD5" s="16" t="s">
        <v>108</v>
      </c>
      <c r="AE5" s="16" t="s">
        <v>109</v>
      </c>
      <c r="AF5" s="16" t="s">
        <v>110</v>
      </c>
    </row>
    <row r="6" customFormat="false" ht="399.75" hidden="false" customHeight="true" outlineLevel="0" collapsed="false">
      <c r="A6" s="13" t="s">
        <v>40</v>
      </c>
      <c r="B6" s="13" t="s">
        <v>41</v>
      </c>
      <c r="C6" s="13" t="n">
        <v>1</v>
      </c>
      <c r="D6" s="14" t="str">
        <f aca="false">IF(IFERROR(INDEX(Learners!$D$6:$D$500,MATCH($B6,Learners!$B$6:$B$500,0)),"")=$C6,"SELECTED","")</f>
        <v/>
      </c>
      <c r="E6" s="13" t="s">
        <v>111</v>
      </c>
      <c r="F6" s="13" t="n">
        <v>0</v>
      </c>
      <c r="G6" s="13" t="n">
        <v>5</v>
      </c>
      <c r="H6" s="13" t="s">
        <v>163</v>
      </c>
      <c r="I6" s="13" t="s">
        <v>164</v>
      </c>
      <c r="J6" s="13" t="s">
        <v>165</v>
      </c>
      <c r="K6" s="13" t="s">
        <v>166</v>
      </c>
      <c r="L6" s="13" t="s">
        <v>167</v>
      </c>
      <c r="M6" s="13" t="s">
        <v>168</v>
      </c>
      <c r="N6" s="17"/>
      <c r="O6" s="17"/>
      <c r="P6" s="17"/>
      <c r="Q6" s="17"/>
      <c r="R6" s="17"/>
      <c r="S6" s="17"/>
      <c r="T6" s="17"/>
      <c r="U6" s="17"/>
      <c r="V6" s="17"/>
      <c r="W6" s="17"/>
      <c r="X6" s="14" t="str">
        <f aca="false">IF(COUNT(N6:W6)=0,"",SUM(N6:W6))</f>
        <v/>
      </c>
      <c r="Y6" s="17"/>
      <c r="Z6" s="17"/>
      <c r="AA6" s="17"/>
      <c r="AB6" s="17"/>
      <c r="AC6" s="17"/>
      <c r="AD6" s="14" t="str">
        <f aca="false">IF(COUNT(Y6:AC6)=0,"",SUM(Y6:AC6))</f>
        <v/>
      </c>
      <c r="AE6" s="14" t="str">
        <f aca="false">IF(COUNT(N6:W6,Y6:AC6)=0,"",SUM(N6:W6,Y6:AC6))</f>
        <v/>
      </c>
      <c r="AF6" s="14" t="n">
        <f aca="false">COUNT(N6:W6,Y6:AC6)</f>
        <v>0</v>
      </c>
    </row>
    <row r="7" customFormat="false" ht="378.75" hidden="false" customHeight="true" outlineLevel="0" collapsed="false">
      <c r="A7" s="13" t="s">
        <v>40</v>
      </c>
      <c r="B7" s="13" t="s">
        <v>41</v>
      </c>
      <c r="C7" s="13" t="n">
        <v>2</v>
      </c>
      <c r="D7" s="14" t="str">
        <f aca="false">IF(IFERROR(INDEX(Learners!$D$6:$D$500,MATCH($B7,Learners!$B$6:$B$500,0)),"")=$C7,"SELECTED","")</f>
        <v/>
      </c>
      <c r="E7" s="13" t="s">
        <v>169</v>
      </c>
      <c r="F7" s="13" t="n">
        <v>0</v>
      </c>
      <c r="G7" s="13" t="n">
        <v>4</v>
      </c>
      <c r="H7" s="13" t="s">
        <v>170</v>
      </c>
      <c r="I7" s="13" t="s">
        <v>171</v>
      </c>
      <c r="J7" s="13"/>
      <c r="K7" s="13" t="s">
        <v>172</v>
      </c>
      <c r="L7" s="13" t="s">
        <v>173</v>
      </c>
      <c r="M7" s="13" t="s">
        <v>174</v>
      </c>
      <c r="N7" s="17"/>
      <c r="O7" s="17"/>
      <c r="P7" s="17"/>
      <c r="Q7" s="17"/>
      <c r="R7" s="17"/>
      <c r="S7" s="17"/>
      <c r="T7" s="17"/>
      <c r="U7" s="17"/>
      <c r="V7" s="17"/>
      <c r="W7" s="17"/>
      <c r="X7" s="14" t="str">
        <f aca="false">IF(COUNT(N7:W7)=0,"",SUM(N7:W7))</f>
        <v/>
      </c>
      <c r="Y7" s="17"/>
      <c r="Z7" s="17"/>
      <c r="AA7" s="17"/>
      <c r="AB7" s="17"/>
      <c r="AC7" s="17"/>
      <c r="AD7" s="14" t="str">
        <f aca="false">IF(COUNT(Y7:AC7)=0,"",SUM(Y7:AC7))</f>
        <v/>
      </c>
      <c r="AE7" s="14" t="str">
        <f aca="false">IF(COUNT(N7:W7,Y7:AC7)=0,"",SUM(N7:W7,Y7:AC7))</f>
        <v/>
      </c>
      <c r="AF7" s="14" t="n">
        <f aca="false">COUNT(N7:W7,Y7:AC7)</f>
        <v>0</v>
      </c>
    </row>
    <row r="8" customFormat="false" ht="399.75" hidden="false" customHeight="true" outlineLevel="0" collapsed="false">
      <c r="A8" s="13" t="s">
        <v>43</v>
      </c>
      <c r="B8" s="13" t="s">
        <v>44</v>
      </c>
      <c r="C8" s="13" t="n">
        <v>1</v>
      </c>
      <c r="D8" s="14" t="str">
        <f aca="false">IF(IFERROR(INDEX(Learners!$D$6:$D$500,MATCH($B8,Learners!$B$6:$B$500,0)),"")=$C8,"SELECTED","")</f>
        <v/>
      </c>
      <c r="E8" s="13" t="s">
        <v>111</v>
      </c>
      <c r="F8" s="13" t="n">
        <v>0</v>
      </c>
      <c r="G8" s="13" t="n">
        <v>5</v>
      </c>
      <c r="H8" s="13" t="s">
        <v>175</v>
      </c>
      <c r="I8" s="13" t="s">
        <v>164</v>
      </c>
      <c r="J8" s="13" t="s">
        <v>165</v>
      </c>
      <c r="K8" s="13" t="s">
        <v>166</v>
      </c>
      <c r="L8" s="13" t="s">
        <v>167</v>
      </c>
      <c r="M8" s="13" t="s">
        <v>176</v>
      </c>
      <c r="N8" s="17"/>
      <c r="O8" s="17"/>
      <c r="P8" s="17"/>
      <c r="Q8" s="17"/>
      <c r="R8" s="17"/>
      <c r="S8" s="17"/>
      <c r="T8" s="17"/>
      <c r="U8" s="17"/>
      <c r="V8" s="17"/>
      <c r="W8" s="17"/>
      <c r="X8" s="14" t="str">
        <f aca="false">IF(COUNT(N8:W8)=0,"",SUM(N8:W8))</f>
        <v/>
      </c>
      <c r="Y8" s="17"/>
      <c r="Z8" s="17"/>
      <c r="AA8" s="17"/>
      <c r="AB8" s="17"/>
      <c r="AC8" s="17"/>
      <c r="AD8" s="14" t="str">
        <f aca="false">IF(COUNT(Y8:AC8)=0,"",SUM(Y8:AC8))</f>
        <v/>
      </c>
      <c r="AE8" s="14" t="str">
        <f aca="false">IF(COUNT(N8:W8,Y8:AC8)=0,"",SUM(N8:W8,Y8:AC8))</f>
        <v/>
      </c>
      <c r="AF8" s="14" t="n">
        <f aca="false">COUNT(N8:W8,Y8:AC8)</f>
        <v>0</v>
      </c>
    </row>
    <row r="9" customFormat="false" ht="366" hidden="false" customHeight="true" outlineLevel="0" collapsed="false">
      <c r="A9" s="13" t="s">
        <v>46</v>
      </c>
      <c r="B9" s="13" t="s">
        <v>47</v>
      </c>
      <c r="C9" s="13" t="n">
        <v>1</v>
      </c>
      <c r="D9" s="14" t="str">
        <f aca="false">IF(IFERROR(INDEX(Learners!$D$6:$D$500,MATCH($B9,Learners!$B$6:$B$500,0)),"")=$C9,"SELECTED","")</f>
        <v/>
      </c>
      <c r="E9" s="13" t="s">
        <v>169</v>
      </c>
      <c r="F9" s="13" t="n">
        <v>0</v>
      </c>
      <c r="G9" s="13" t="n">
        <v>4</v>
      </c>
      <c r="H9" s="13" t="s">
        <v>177</v>
      </c>
      <c r="I9" s="13" t="s">
        <v>178</v>
      </c>
      <c r="J9" s="13"/>
      <c r="K9" s="13" t="s">
        <v>179</v>
      </c>
      <c r="L9" s="13" t="s">
        <v>180</v>
      </c>
      <c r="M9" s="13" t="s">
        <v>181</v>
      </c>
      <c r="N9" s="17"/>
      <c r="O9" s="17"/>
      <c r="P9" s="17"/>
      <c r="Q9" s="17"/>
      <c r="R9" s="17"/>
      <c r="S9" s="17"/>
      <c r="T9" s="17"/>
      <c r="U9" s="17"/>
      <c r="V9" s="17"/>
      <c r="W9" s="17"/>
      <c r="X9" s="14" t="str">
        <f aca="false">IF(COUNT(N9:W9)=0,"",SUM(N9:W9))</f>
        <v/>
      </c>
      <c r="Y9" s="17"/>
      <c r="Z9" s="17"/>
      <c r="AA9" s="17"/>
      <c r="AB9" s="17"/>
      <c r="AC9" s="17"/>
      <c r="AD9" s="14" t="str">
        <f aca="false">IF(COUNT(Y9:AC9)=0,"",SUM(Y9:AC9))</f>
        <v/>
      </c>
      <c r="AE9" s="14" t="str">
        <f aca="false">IF(COUNT(N9:W9,Y9:AC9)=0,"",SUM(N9:W9,Y9:AC9))</f>
        <v/>
      </c>
      <c r="AF9" s="14" t="n">
        <f aca="false">COUNT(N9:W9,Y9:AC9)</f>
        <v>0</v>
      </c>
    </row>
    <row r="10" customFormat="false" ht="391.5" hidden="false" customHeight="true" outlineLevel="0" collapsed="false">
      <c r="A10" s="13" t="s">
        <v>48</v>
      </c>
      <c r="B10" s="13" t="s">
        <v>49</v>
      </c>
      <c r="C10" s="13" t="n">
        <v>1</v>
      </c>
      <c r="D10" s="14" t="str">
        <f aca="false">IF(IFERROR(INDEX(Learners!$D$6:$D$500,MATCH($B10,Learners!$B$6:$B$500,0)),"")=$C10,"SELECTED","")</f>
        <v/>
      </c>
      <c r="E10" s="13" t="s">
        <v>169</v>
      </c>
      <c r="F10" s="13" t="n">
        <v>0</v>
      </c>
      <c r="G10" s="13" t="n">
        <v>4</v>
      </c>
      <c r="H10" s="13" t="s">
        <v>182</v>
      </c>
      <c r="I10" s="13" t="s">
        <v>171</v>
      </c>
      <c r="J10" s="13"/>
      <c r="K10" s="13" t="s">
        <v>183</v>
      </c>
      <c r="L10" s="13" t="s">
        <v>184</v>
      </c>
      <c r="M10" s="13" t="s">
        <v>185</v>
      </c>
      <c r="N10" s="17"/>
      <c r="O10" s="17"/>
      <c r="P10" s="17"/>
      <c r="Q10" s="17"/>
      <c r="R10" s="17"/>
      <c r="S10" s="17"/>
      <c r="T10" s="17"/>
      <c r="U10" s="17"/>
      <c r="V10" s="17"/>
      <c r="W10" s="17"/>
      <c r="X10" s="14" t="str">
        <f aca="false">IF(COUNT(N10:W10)=0,"",SUM(N10:W10))</f>
        <v/>
      </c>
      <c r="Y10" s="17"/>
      <c r="Z10" s="17"/>
      <c r="AA10" s="17"/>
      <c r="AB10" s="17"/>
      <c r="AC10" s="17"/>
      <c r="AD10" s="14" t="str">
        <f aca="false">IF(COUNT(Y10:AC10)=0,"",SUM(Y10:AC10))</f>
        <v/>
      </c>
      <c r="AE10" s="14" t="str">
        <f aca="false">IF(COUNT(N10:W10,Y10:AC10)=0,"",SUM(N10:W10,Y10:AC10))</f>
        <v/>
      </c>
      <c r="AF10" s="14" t="n">
        <f aca="false">COUNT(N10:W10,Y10:AC10)</f>
        <v>0</v>
      </c>
    </row>
  </sheetData>
  <autoFilter ref="A5:AF10"/>
  <conditionalFormatting sqref="A6:M10">
    <cfRule type="expression" priority="2" aboveAverage="0" equalAverage="0" bottom="0" percent="0" rank="0" text="" dxfId="7">
      <formula>$D6="SELECTED"</formula>
    </cfRule>
  </conditionalFormatting>
  <dataValidations count="2">
    <dataValidation allowBlank="true" error="Enter 0, 1 or 2." errorStyle="stop" errorTitle="Reply score" operator="between" showDropDown="false" showErrorMessage="true" showInputMessage="false" sqref="N6:W10" type="whole">
      <formula1>0</formula1>
      <formula2>2</formula2>
    </dataValidation>
    <dataValidation allowBlank="true" error="Enter 0 or 1." errorStyle="stop" errorTitle="Note score" operator="between" showDropDown="false" showErrorMessage="true" showInputMessage="false" sqref="Y6:AC10"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2A33A"/>
    <pageSetUpPr fitToPage="false"/>
  </sheetPr>
  <dimension ref="A1:A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7"/>
    <col collapsed="false" customWidth="true" hidden="false" outlineLevel="0" max="4" min="4" style="0" width="12"/>
    <col collapsed="false" customWidth="true" hidden="false" outlineLevel="0" max="5" min="5" style="0" width="13"/>
    <col collapsed="false" customWidth="true" hidden="false" outlineLevel="0" max="7" min="6" style="0" width="9"/>
    <col collapsed="false" customWidth="true" hidden="false" outlineLevel="0" max="8" min="8" style="0" width="78"/>
    <col collapsed="false" customWidth="true" hidden="false" outlineLevel="0" max="9" min="9" style="0" width="52"/>
    <col collapsed="false" customWidth="true" hidden="false" outlineLevel="0" max="10" min="10" style="0" width="34"/>
    <col collapsed="false" customWidth="true" hidden="false" outlineLevel="0" max="11" min="11" style="0" width="60"/>
    <col collapsed="false" customWidth="true" hidden="false" outlineLevel="0" max="12" min="12" style="0" width="30"/>
    <col collapsed="false" customWidth="true" hidden="false" outlineLevel="0" max="13" min="13" style="0" width="34"/>
    <col collapsed="false" customWidth="true" hidden="false" outlineLevel="0" max="23" min="14" style="0" width="17"/>
    <col collapsed="false" customWidth="true" hidden="false" outlineLevel="0" max="24" min="24" style="0" width="11"/>
    <col collapsed="false" customWidth="true" hidden="false" outlineLevel="0" max="29" min="25" style="0" width="17"/>
    <col collapsed="false" customWidth="true" hidden="false" outlineLevel="0" max="32" min="30" style="0" width="12"/>
  </cols>
  <sheetData>
    <row r="1" customFormat="false" ht="17.35" hidden="false" customHeight="false" outlineLevel="0" collapsed="false">
      <c r="A1" s="1" t="s">
        <v>186</v>
      </c>
    </row>
    <row r="2" customFormat="false" ht="15" hidden="false" customHeight="false" outlineLevel="0" collapsed="false">
      <c r="A2" s="7" t="s">
        <v>187</v>
      </c>
    </row>
    <row r="3" customFormat="false" ht="15" hidden="false" customHeight="false" outlineLevel="0" collapsed="false">
      <c r="A3" s="7" t="s">
        <v>81</v>
      </c>
    </row>
    <row r="5" customFormat="false" ht="117.75" hidden="false" customHeight="true" outlineLevel="0" collapsed="false">
      <c r="A5" s="8" t="s">
        <v>25</v>
      </c>
      <c r="B5" s="8" t="s">
        <v>26</v>
      </c>
      <c r="C5" s="8" t="s">
        <v>55</v>
      </c>
      <c r="D5" s="8" t="s">
        <v>82</v>
      </c>
      <c r="E5" s="8" t="s">
        <v>83</v>
      </c>
      <c r="F5" s="8" t="s">
        <v>84</v>
      </c>
      <c r="G5" s="8" t="s">
        <v>85</v>
      </c>
      <c r="H5" s="8" t="s">
        <v>86</v>
      </c>
      <c r="I5" s="8" t="s">
        <v>87</v>
      </c>
      <c r="J5" s="8" t="s">
        <v>88</v>
      </c>
      <c r="K5" s="8" t="s">
        <v>89</v>
      </c>
      <c r="L5" s="8" t="s">
        <v>90</v>
      </c>
      <c r="M5" s="8" t="s">
        <v>91</v>
      </c>
      <c r="N5" s="15" t="s">
        <v>92</v>
      </c>
      <c r="O5" s="15" t="s">
        <v>93</v>
      </c>
      <c r="P5" s="15" t="s">
        <v>94</v>
      </c>
      <c r="Q5" s="15" t="s">
        <v>95</v>
      </c>
      <c r="R5" s="15" t="s">
        <v>96</v>
      </c>
      <c r="S5" s="15" t="s">
        <v>97</v>
      </c>
      <c r="T5" s="15" t="s">
        <v>98</v>
      </c>
      <c r="U5" s="15" t="s">
        <v>188</v>
      </c>
      <c r="V5" s="15" t="s">
        <v>189</v>
      </c>
      <c r="W5" s="15" t="s">
        <v>190</v>
      </c>
      <c r="X5" s="16" t="s">
        <v>102</v>
      </c>
      <c r="Y5" s="15" t="s">
        <v>103</v>
      </c>
      <c r="Z5" s="15" t="s">
        <v>104</v>
      </c>
      <c r="AA5" s="15" t="s">
        <v>105</v>
      </c>
      <c r="AB5" s="15" t="s">
        <v>106</v>
      </c>
      <c r="AC5" s="15" t="s">
        <v>107</v>
      </c>
      <c r="AD5" s="16" t="s">
        <v>108</v>
      </c>
      <c r="AE5" s="16" t="s">
        <v>109</v>
      </c>
      <c r="AF5" s="16" t="s">
        <v>110</v>
      </c>
    </row>
    <row r="6" customFormat="false" ht="399.75" hidden="false" customHeight="true" outlineLevel="0" collapsed="false">
      <c r="A6" s="13" t="s">
        <v>40</v>
      </c>
      <c r="B6" s="13" t="s">
        <v>41</v>
      </c>
      <c r="C6" s="13" t="n">
        <v>1</v>
      </c>
      <c r="D6" s="14" t="str">
        <f aca="false">IF(IFERROR(INDEX(Learners!$D$6:$D$500,MATCH($B6,Learners!$B$6:$B$500,0)),"")=$C6,"SELECTED","")</f>
        <v/>
      </c>
      <c r="E6" s="13" t="s">
        <v>111</v>
      </c>
      <c r="F6" s="13" t="n">
        <v>3</v>
      </c>
      <c r="G6" s="13" t="n">
        <v>2</v>
      </c>
      <c r="H6" s="13" t="s">
        <v>191</v>
      </c>
      <c r="I6" s="13" t="s">
        <v>192</v>
      </c>
      <c r="J6" s="13" t="s">
        <v>193</v>
      </c>
      <c r="K6" s="13" t="s">
        <v>194</v>
      </c>
      <c r="L6" s="13" t="s">
        <v>195</v>
      </c>
      <c r="M6" s="13" t="s">
        <v>196</v>
      </c>
      <c r="N6" s="17"/>
      <c r="O6" s="17"/>
      <c r="P6" s="17"/>
      <c r="Q6" s="17"/>
      <c r="R6" s="17"/>
      <c r="S6" s="17"/>
      <c r="T6" s="17"/>
      <c r="U6" s="17"/>
      <c r="V6" s="17"/>
      <c r="W6" s="17"/>
      <c r="X6" s="14" t="str">
        <f aca="false">IF(COUNT(N6:W6)=0,"",SUM(N6:W6))</f>
        <v/>
      </c>
      <c r="Y6" s="17"/>
      <c r="Z6" s="17"/>
      <c r="AA6" s="17"/>
      <c r="AB6" s="17"/>
      <c r="AC6" s="17"/>
      <c r="AD6" s="14" t="str">
        <f aca="false">IF(COUNT(Y6:AC6)=0,"",SUM(Y6:AC6))</f>
        <v/>
      </c>
      <c r="AE6" s="14" t="str">
        <f aca="false">IF(COUNT(N6:W6,Y6:AC6)=0,"",SUM(N6:W6,Y6:AC6))</f>
        <v/>
      </c>
      <c r="AF6" s="14" t="n">
        <f aca="false">COUNT(N6:W6,Y6:AC6)</f>
        <v>0</v>
      </c>
    </row>
    <row r="7" customFormat="false" ht="354" hidden="false" customHeight="true" outlineLevel="0" collapsed="false">
      <c r="A7" s="13" t="s">
        <v>40</v>
      </c>
      <c r="B7" s="13" t="s">
        <v>41</v>
      </c>
      <c r="C7" s="13" t="n">
        <v>2</v>
      </c>
      <c r="D7" s="14" t="str">
        <f aca="false">IF(IFERROR(INDEX(Learners!$D$6:$D$500,MATCH($B7,Learners!$B$6:$B$500,0)),"")=$C7,"SELECTED","")</f>
        <v/>
      </c>
      <c r="E7" s="13" t="s">
        <v>118</v>
      </c>
      <c r="F7" s="13" t="n">
        <v>0</v>
      </c>
      <c r="G7" s="13" t="n">
        <v>2</v>
      </c>
      <c r="H7" s="13" t="s">
        <v>197</v>
      </c>
      <c r="I7" s="13" t="s">
        <v>198</v>
      </c>
      <c r="J7" s="13"/>
      <c r="K7" s="13" t="s">
        <v>199</v>
      </c>
      <c r="L7" s="13" t="s">
        <v>200</v>
      </c>
      <c r="M7" s="13" t="s">
        <v>201</v>
      </c>
      <c r="N7" s="17"/>
      <c r="O7" s="17"/>
      <c r="P7" s="17"/>
      <c r="Q7" s="17"/>
      <c r="R7" s="17"/>
      <c r="S7" s="17"/>
      <c r="T7" s="17"/>
      <c r="U7" s="17"/>
      <c r="V7" s="17"/>
      <c r="W7" s="17"/>
      <c r="X7" s="14" t="str">
        <f aca="false">IF(COUNT(N7:W7)=0,"",SUM(N7:W7))</f>
        <v/>
      </c>
      <c r="Y7" s="17"/>
      <c r="Z7" s="17"/>
      <c r="AA7" s="17"/>
      <c r="AB7" s="17"/>
      <c r="AC7" s="17"/>
      <c r="AD7" s="14" t="str">
        <f aca="false">IF(COUNT(Y7:AC7)=0,"",SUM(Y7:AC7))</f>
        <v/>
      </c>
      <c r="AE7" s="14" t="str">
        <f aca="false">IF(COUNT(N7:W7,Y7:AC7)=0,"",SUM(N7:W7,Y7:AC7))</f>
        <v/>
      </c>
      <c r="AF7" s="14" t="n">
        <f aca="false">COUNT(N7:W7,Y7:AC7)</f>
        <v>0</v>
      </c>
    </row>
    <row r="8" customFormat="false" ht="399.75" hidden="false" customHeight="true" outlineLevel="0" collapsed="false">
      <c r="A8" s="13" t="s">
        <v>43</v>
      </c>
      <c r="B8" s="13" t="s">
        <v>44</v>
      </c>
      <c r="C8" s="13" t="n">
        <v>1</v>
      </c>
      <c r="D8" s="14" t="str">
        <f aca="false">IF(IFERROR(INDEX(Learners!$D$6:$D$500,MATCH($B8,Learners!$B$6:$B$500,0)),"")=$C8,"SELECTED","")</f>
        <v/>
      </c>
      <c r="E8" s="13" t="s">
        <v>111</v>
      </c>
      <c r="F8" s="13" t="n">
        <v>3</v>
      </c>
      <c r="G8" s="13" t="n">
        <v>2</v>
      </c>
      <c r="H8" s="13" t="s">
        <v>202</v>
      </c>
      <c r="I8" s="13" t="s">
        <v>192</v>
      </c>
      <c r="J8" s="13" t="s">
        <v>193</v>
      </c>
      <c r="K8" s="13" t="s">
        <v>194</v>
      </c>
      <c r="L8" s="13" t="s">
        <v>195</v>
      </c>
      <c r="M8" s="13" t="s">
        <v>196</v>
      </c>
      <c r="N8" s="17"/>
      <c r="O8" s="17"/>
      <c r="P8" s="17"/>
      <c r="Q8" s="17"/>
      <c r="R8" s="17"/>
      <c r="S8" s="17"/>
      <c r="T8" s="17"/>
      <c r="U8" s="17"/>
      <c r="V8" s="17"/>
      <c r="W8" s="17"/>
      <c r="X8" s="14" t="str">
        <f aca="false">IF(COUNT(N8:W8)=0,"",SUM(N8:W8))</f>
        <v/>
      </c>
      <c r="Y8" s="17"/>
      <c r="Z8" s="17"/>
      <c r="AA8" s="17"/>
      <c r="AB8" s="17"/>
      <c r="AC8" s="17"/>
      <c r="AD8" s="14" t="str">
        <f aca="false">IF(COUNT(Y8:AC8)=0,"",SUM(Y8:AC8))</f>
        <v/>
      </c>
      <c r="AE8" s="14" t="str">
        <f aca="false">IF(COUNT(N8:W8,Y8:AC8)=0,"",SUM(N8:W8,Y8:AC8))</f>
        <v/>
      </c>
      <c r="AF8" s="14" t="n">
        <f aca="false">COUNT(N8:W8,Y8:AC8)</f>
        <v>0</v>
      </c>
    </row>
    <row r="9" customFormat="false" ht="399.75" hidden="false" customHeight="true" outlineLevel="0" collapsed="false">
      <c r="A9" s="13" t="s">
        <v>46</v>
      </c>
      <c r="B9" s="13" t="s">
        <v>47</v>
      </c>
      <c r="C9" s="13" t="n">
        <v>1</v>
      </c>
      <c r="D9" s="14" t="str">
        <f aca="false">IF(IFERROR(INDEX(Learners!$D$6:$D$500,MATCH($B9,Learners!$B$6:$B$500,0)),"")=$C9,"SELECTED","")</f>
        <v/>
      </c>
      <c r="E9" s="13" t="s">
        <v>111</v>
      </c>
      <c r="F9" s="13" t="n">
        <v>0</v>
      </c>
      <c r="G9" s="13" t="n">
        <v>3</v>
      </c>
      <c r="H9" s="13" t="s">
        <v>203</v>
      </c>
      <c r="I9" s="13" t="s">
        <v>204</v>
      </c>
      <c r="J9" s="13" t="s">
        <v>205</v>
      </c>
      <c r="K9" s="13" t="s">
        <v>206</v>
      </c>
      <c r="L9" s="13" t="s">
        <v>207</v>
      </c>
      <c r="M9" s="13" t="s">
        <v>196</v>
      </c>
      <c r="N9" s="17"/>
      <c r="O9" s="17"/>
      <c r="P9" s="17"/>
      <c r="Q9" s="17"/>
      <c r="R9" s="17"/>
      <c r="S9" s="17"/>
      <c r="T9" s="17"/>
      <c r="U9" s="17"/>
      <c r="V9" s="17"/>
      <c r="W9" s="17"/>
      <c r="X9" s="14" t="str">
        <f aca="false">IF(COUNT(N9:W9)=0,"",SUM(N9:W9))</f>
        <v/>
      </c>
      <c r="Y9" s="17"/>
      <c r="Z9" s="17"/>
      <c r="AA9" s="17"/>
      <c r="AB9" s="17"/>
      <c r="AC9" s="17"/>
      <c r="AD9" s="14" t="str">
        <f aca="false">IF(COUNT(Y9:AC9)=0,"",SUM(Y9:AC9))</f>
        <v/>
      </c>
      <c r="AE9" s="14" t="str">
        <f aca="false">IF(COUNT(N9:W9,Y9:AC9)=0,"",SUM(N9:W9,Y9:AC9))</f>
        <v/>
      </c>
      <c r="AF9" s="14" t="n">
        <f aca="false">COUNT(N9:W9,Y9:AC9)</f>
        <v>0</v>
      </c>
    </row>
    <row r="10" customFormat="false" ht="354" hidden="false" customHeight="true" outlineLevel="0" collapsed="false">
      <c r="A10" s="13" t="s">
        <v>48</v>
      </c>
      <c r="B10" s="13" t="s">
        <v>49</v>
      </c>
      <c r="C10" s="13" t="n">
        <v>1</v>
      </c>
      <c r="D10" s="14" t="str">
        <f aca="false">IF(IFERROR(INDEX(Learners!$D$6:$D$500,MATCH($B10,Learners!$B$6:$B$500,0)),"")=$C10,"SELECTED","")</f>
        <v/>
      </c>
      <c r="E10" s="13" t="s">
        <v>118</v>
      </c>
      <c r="F10" s="13" t="n">
        <v>0</v>
      </c>
      <c r="G10" s="13" t="n">
        <v>2</v>
      </c>
      <c r="H10" s="13" t="s">
        <v>208</v>
      </c>
      <c r="I10" s="13" t="s">
        <v>198</v>
      </c>
      <c r="J10" s="13"/>
      <c r="K10" s="13" t="s">
        <v>199</v>
      </c>
      <c r="L10" s="13" t="s">
        <v>209</v>
      </c>
      <c r="M10" s="13" t="s">
        <v>196</v>
      </c>
      <c r="N10" s="17"/>
      <c r="O10" s="17"/>
      <c r="P10" s="17"/>
      <c r="Q10" s="17"/>
      <c r="R10" s="17"/>
      <c r="S10" s="17"/>
      <c r="T10" s="17"/>
      <c r="U10" s="17"/>
      <c r="V10" s="17"/>
      <c r="W10" s="17"/>
      <c r="X10" s="14" t="str">
        <f aca="false">IF(COUNT(N10:W10)=0,"",SUM(N10:W10))</f>
        <v/>
      </c>
      <c r="Y10" s="17"/>
      <c r="Z10" s="17"/>
      <c r="AA10" s="17"/>
      <c r="AB10" s="17"/>
      <c r="AC10" s="17"/>
      <c r="AD10" s="14" t="str">
        <f aca="false">IF(COUNT(Y10:AC10)=0,"",SUM(Y10:AC10))</f>
        <v/>
      </c>
      <c r="AE10" s="14" t="str">
        <f aca="false">IF(COUNT(N10:W10,Y10:AC10)=0,"",SUM(N10:W10,Y10:AC10))</f>
        <v/>
      </c>
      <c r="AF10" s="14" t="n">
        <f aca="false">COUNT(N10:W10,Y10:AC10)</f>
        <v>0</v>
      </c>
    </row>
  </sheetData>
  <autoFilter ref="A5:AF10"/>
  <conditionalFormatting sqref="A6:M10">
    <cfRule type="expression" priority="2" aboveAverage="0" equalAverage="0" bottom="0" percent="0" rank="0" text="" dxfId="7">
      <formula>$D6="SELECTED"</formula>
    </cfRule>
  </conditionalFormatting>
  <dataValidations count="2">
    <dataValidation allowBlank="true" error="Enter 0, 1 or 2." errorStyle="stop" errorTitle="Reply score" operator="between" showDropDown="false" showErrorMessage="true" showInputMessage="false" sqref="N6:W10" type="whole">
      <formula1>0</formula1>
      <formula2>2</formula2>
    </dataValidation>
    <dataValidation allowBlank="true" error="Enter 0 or 1." errorStyle="stop" errorTitle="Note score" operator="between" showDropDown="false" showErrorMessage="true" showInputMessage="false" sqref="Y6:AC10" type="whole">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4" min="3" style="0" width="7"/>
    <col collapsed="false" customWidth="true" hidden="false" outlineLevel="0" max="6" min="5" style="0" width="11"/>
    <col collapsed="false" customWidth="true" hidden="false" outlineLevel="0" max="7" min="7" style="0" width="26"/>
    <col collapsed="false" customWidth="true" hidden="false" outlineLevel="0" max="8" min="8" style="0" width="100"/>
  </cols>
  <sheetData>
    <row r="1" customFormat="false" ht="17.35" hidden="false" customHeight="false" outlineLevel="0" collapsed="false">
      <c r="A1" s="1" t="s">
        <v>210</v>
      </c>
    </row>
    <row r="2" customFormat="false" ht="15" hidden="false" customHeight="false" outlineLevel="0" collapsed="false">
      <c r="A2" s="7" t="s">
        <v>211</v>
      </c>
    </row>
    <row r="4" customFormat="false" ht="23.85" hidden="false" customHeight="false" outlineLevel="0" collapsed="false">
      <c r="A4" s="18" t="s">
        <v>25</v>
      </c>
      <c r="B4" s="18" t="s">
        <v>26</v>
      </c>
      <c r="C4" s="18" t="s">
        <v>55</v>
      </c>
      <c r="D4" s="18" t="s">
        <v>212</v>
      </c>
      <c r="E4" s="18" t="s">
        <v>213</v>
      </c>
      <c r="F4" s="18" t="s">
        <v>214</v>
      </c>
      <c r="G4" s="18" t="s">
        <v>215</v>
      </c>
      <c r="H4" s="18" t="s">
        <v>216</v>
      </c>
    </row>
    <row r="5" customFormat="false" ht="30" hidden="false" customHeight="true" outlineLevel="0" collapsed="false">
      <c r="A5" s="5" t="s">
        <v>40</v>
      </c>
      <c r="B5" s="5" t="s">
        <v>41</v>
      </c>
      <c r="C5" s="5" t="n">
        <v>1</v>
      </c>
      <c r="D5" s="5" t="s">
        <v>217</v>
      </c>
      <c r="E5" s="5" t="s">
        <v>218</v>
      </c>
      <c r="F5" s="5" t="s">
        <v>219</v>
      </c>
      <c r="G5" s="5"/>
      <c r="H5" s="5" t="s">
        <v>220</v>
      </c>
    </row>
    <row r="6" customFormat="false" ht="16.5" hidden="false" customHeight="true" outlineLevel="0" collapsed="false">
      <c r="A6" s="5" t="s">
        <v>40</v>
      </c>
      <c r="B6" s="5" t="s">
        <v>41</v>
      </c>
      <c r="C6" s="5" t="n">
        <v>1</v>
      </c>
      <c r="D6" s="5" t="s">
        <v>217</v>
      </c>
      <c r="E6" s="5" t="s">
        <v>218</v>
      </c>
      <c r="F6" s="5" t="s">
        <v>221</v>
      </c>
      <c r="G6" s="5" t="s">
        <v>222</v>
      </c>
      <c r="H6" s="5" t="s">
        <v>223</v>
      </c>
    </row>
    <row r="7" customFormat="false" ht="16.5" hidden="false" customHeight="true" outlineLevel="0" collapsed="false">
      <c r="A7" s="5" t="s">
        <v>40</v>
      </c>
      <c r="B7" s="5" t="s">
        <v>41</v>
      </c>
      <c r="C7" s="5" t="n">
        <v>1</v>
      </c>
      <c r="D7" s="5" t="s">
        <v>217</v>
      </c>
      <c r="E7" s="5" t="s">
        <v>218</v>
      </c>
      <c r="F7" s="5" t="s">
        <v>219</v>
      </c>
      <c r="G7" s="5"/>
      <c r="H7" s="5" t="s">
        <v>224</v>
      </c>
    </row>
    <row r="8" customFormat="false" ht="16.5" hidden="false" customHeight="true" outlineLevel="0" collapsed="false">
      <c r="A8" s="5" t="s">
        <v>40</v>
      </c>
      <c r="B8" s="5" t="s">
        <v>41</v>
      </c>
      <c r="C8" s="5" t="n">
        <v>1</v>
      </c>
      <c r="D8" s="5" t="s">
        <v>217</v>
      </c>
      <c r="E8" s="5" t="s">
        <v>218</v>
      </c>
      <c r="F8" s="5" t="s">
        <v>221</v>
      </c>
      <c r="G8" s="5" t="s">
        <v>225</v>
      </c>
      <c r="H8" s="5" t="s">
        <v>226</v>
      </c>
    </row>
    <row r="9" customFormat="false" ht="16.5" hidden="false" customHeight="true" outlineLevel="0" collapsed="false">
      <c r="A9" s="5" t="s">
        <v>40</v>
      </c>
      <c r="B9" s="5" t="s">
        <v>41</v>
      </c>
      <c r="C9" s="5" t="n">
        <v>1</v>
      </c>
      <c r="D9" s="5" t="s">
        <v>217</v>
      </c>
      <c r="E9" s="5" t="s">
        <v>218</v>
      </c>
      <c r="F9" s="5" t="s">
        <v>219</v>
      </c>
      <c r="G9" s="5"/>
      <c r="H9" s="5" t="s">
        <v>227</v>
      </c>
    </row>
    <row r="10" customFormat="false" ht="16.5" hidden="false" customHeight="true" outlineLevel="0" collapsed="false">
      <c r="A10" s="5" t="s">
        <v>40</v>
      </c>
      <c r="B10" s="5" t="s">
        <v>41</v>
      </c>
      <c r="C10" s="5" t="n">
        <v>1</v>
      </c>
      <c r="D10" s="5" t="s">
        <v>217</v>
      </c>
      <c r="E10" s="5" t="s">
        <v>228</v>
      </c>
      <c r="F10" s="5" t="s">
        <v>221</v>
      </c>
      <c r="G10" s="5" t="s">
        <v>225</v>
      </c>
      <c r="H10" s="5" t="s">
        <v>229</v>
      </c>
    </row>
    <row r="11" customFormat="false" ht="16.5" hidden="false" customHeight="true" outlineLevel="0" collapsed="false">
      <c r="A11" s="5" t="s">
        <v>40</v>
      </c>
      <c r="B11" s="5" t="s">
        <v>41</v>
      </c>
      <c r="C11" s="5" t="n">
        <v>1</v>
      </c>
      <c r="D11" s="5" t="s">
        <v>217</v>
      </c>
      <c r="E11" s="5" t="s">
        <v>228</v>
      </c>
      <c r="F11" s="5" t="s">
        <v>219</v>
      </c>
      <c r="G11" s="5"/>
      <c r="H11" s="5" t="s">
        <v>230</v>
      </c>
    </row>
    <row r="12" customFormat="false" ht="16.5" hidden="false" customHeight="true" outlineLevel="0" collapsed="false">
      <c r="A12" s="5" t="s">
        <v>40</v>
      </c>
      <c r="B12" s="5" t="s">
        <v>41</v>
      </c>
      <c r="C12" s="5" t="n">
        <v>1</v>
      </c>
      <c r="D12" s="5" t="s">
        <v>217</v>
      </c>
      <c r="E12" s="5" t="s">
        <v>228</v>
      </c>
      <c r="F12" s="5" t="s">
        <v>221</v>
      </c>
      <c r="G12" s="5" t="s">
        <v>225</v>
      </c>
      <c r="H12" s="5" t="s">
        <v>231</v>
      </c>
    </row>
    <row r="13" customFormat="false" ht="16.5" hidden="false" customHeight="true" outlineLevel="0" collapsed="false">
      <c r="A13" s="5" t="s">
        <v>40</v>
      </c>
      <c r="B13" s="5" t="s">
        <v>41</v>
      </c>
      <c r="C13" s="5" t="n">
        <v>1</v>
      </c>
      <c r="D13" s="5" t="s">
        <v>217</v>
      </c>
      <c r="E13" s="5" t="s">
        <v>228</v>
      </c>
      <c r="F13" s="5" t="s">
        <v>219</v>
      </c>
      <c r="G13" s="5"/>
      <c r="H13" s="5" t="s">
        <v>232</v>
      </c>
    </row>
    <row r="14" customFormat="false" ht="16.5" hidden="false" customHeight="true" outlineLevel="0" collapsed="false">
      <c r="A14" s="5" t="s">
        <v>40</v>
      </c>
      <c r="B14" s="5" t="s">
        <v>41</v>
      </c>
      <c r="C14" s="5" t="n">
        <v>1</v>
      </c>
      <c r="D14" s="5" t="s">
        <v>217</v>
      </c>
      <c r="E14" s="5" t="s">
        <v>233</v>
      </c>
      <c r="F14" s="5" t="s">
        <v>221</v>
      </c>
      <c r="G14" s="5" t="s">
        <v>234</v>
      </c>
      <c r="H14" s="5" t="s">
        <v>235</v>
      </c>
    </row>
    <row r="15" customFormat="false" ht="16.5" hidden="false" customHeight="true" outlineLevel="0" collapsed="false">
      <c r="A15" s="5" t="s">
        <v>40</v>
      </c>
      <c r="B15" s="5" t="s">
        <v>41</v>
      </c>
      <c r="C15" s="5" t="n">
        <v>1</v>
      </c>
      <c r="D15" s="5" t="s">
        <v>217</v>
      </c>
      <c r="E15" s="5" t="s">
        <v>233</v>
      </c>
      <c r="F15" s="5" t="s">
        <v>219</v>
      </c>
      <c r="G15" s="5" t="s">
        <v>236</v>
      </c>
      <c r="H15" s="5" t="s">
        <v>237</v>
      </c>
    </row>
    <row r="16" customFormat="false" ht="42.75" hidden="false" customHeight="true" outlineLevel="0" collapsed="false">
      <c r="A16" s="5" t="s">
        <v>40</v>
      </c>
      <c r="B16" s="5" t="s">
        <v>41</v>
      </c>
      <c r="C16" s="5" t="n">
        <v>1</v>
      </c>
      <c r="D16" s="5" t="s">
        <v>238</v>
      </c>
      <c r="E16" s="5" t="s">
        <v>228</v>
      </c>
      <c r="F16" s="5" t="s">
        <v>219</v>
      </c>
      <c r="G16" s="5" t="s">
        <v>239</v>
      </c>
      <c r="H16" s="5" t="s">
        <v>240</v>
      </c>
    </row>
    <row r="17" customFormat="false" ht="16.5" hidden="false" customHeight="true" outlineLevel="0" collapsed="false">
      <c r="A17" s="5" t="s">
        <v>40</v>
      </c>
      <c r="B17" s="5" t="s">
        <v>41</v>
      </c>
      <c r="C17" s="5" t="n">
        <v>1</v>
      </c>
      <c r="D17" s="5" t="s">
        <v>238</v>
      </c>
      <c r="E17" s="5" t="s">
        <v>233</v>
      </c>
      <c r="F17" s="5" t="s">
        <v>221</v>
      </c>
      <c r="G17" s="5" t="s">
        <v>241</v>
      </c>
      <c r="H17" s="5" t="s">
        <v>242</v>
      </c>
    </row>
    <row r="18" customFormat="false" ht="30" hidden="false" customHeight="true" outlineLevel="0" collapsed="false">
      <c r="A18" s="5" t="s">
        <v>40</v>
      </c>
      <c r="B18" s="5" t="s">
        <v>41</v>
      </c>
      <c r="C18" s="5" t="n">
        <v>1</v>
      </c>
      <c r="D18" s="5" t="s">
        <v>238</v>
      </c>
      <c r="E18" s="5" t="s">
        <v>243</v>
      </c>
      <c r="F18" s="5" t="s">
        <v>219</v>
      </c>
      <c r="G18" s="5" t="s">
        <v>244</v>
      </c>
      <c r="H18" s="5" t="s">
        <v>245</v>
      </c>
    </row>
    <row r="19" customFormat="false" ht="16.5" hidden="false" customHeight="true" outlineLevel="0" collapsed="false">
      <c r="A19" s="5" t="s">
        <v>40</v>
      </c>
      <c r="B19" s="5" t="s">
        <v>41</v>
      </c>
      <c r="C19" s="5" t="n">
        <v>1</v>
      </c>
      <c r="D19" s="5" t="s">
        <v>238</v>
      </c>
      <c r="E19" s="5" t="s">
        <v>243</v>
      </c>
      <c r="F19" s="5" t="s">
        <v>221</v>
      </c>
      <c r="G19" s="5" t="s">
        <v>246</v>
      </c>
      <c r="H19" s="5" t="s">
        <v>247</v>
      </c>
    </row>
    <row r="20" customFormat="false" ht="30" hidden="false" customHeight="true" outlineLevel="0" collapsed="false">
      <c r="A20" s="5" t="s">
        <v>40</v>
      </c>
      <c r="B20" s="5" t="s">
        <v>41</v>
      </c>
      <c r="C20" s="5" t="n">
        <v>1</v>
      </c>
      <c r="D20" s="5" t="s">
        <v>238</v>
      </c>
      <c r="E20" s="5" t="s">
        <v>248</v>
      </c>
      <c r="F20" s="5" t="s">
        <v>219</v>
      </c>
      <c r="G20" s="5" t="s">
        <v>244</v>
      </c>
      <c r="H20" s="5" t="s">
        <v>249</v>
      </c>
    </row>
    <row r="21" customFormat="false" ht="16.5" hidden="false" customHeight="true" outlineLevel="0" collapsed="false">
      <c r="A21" s="5" t="s">
        <v>40</v>
      </c>
      <c r="B21" s="5" t="s">
        <v>41</v>
      </c>
      <c r="C21" s="5" t="n">
        <v>1</v>
      </c>
      <c r="D21" s="5" t="s">
        <v>238</v>
      </c>
      <c r="E21" s="5" t="s">
        <v>250</v>
      </c>
      <c r="F21" s="5" t="s">
        <v>221</v>
      </c>
      <c r="G21" s="5" t="s">
        <v>251</v>
      </c>
      <c r="H21" s="5" t="s">
        <v>252</v>
      </c>
    </row>
    <row r="22" customFormat="false" ht="16.5" hidden="false" customHeight="true" outlineLevel="0" collapsed="false">
      <c r="A22" s="5" t="s">
        <v>40</v>
      </c>
      <c r="B22" s="5" t="s">
        <v>41</v>
      </c>
      <c r="C22" s="5" t="n">
        <v>1</v>
      </c>
      <c r="D22" s="5" t="s">
        <v>238</v>
      </c>
      <c r="E22" s="5" t="s">
        <v>253</v>
      </c>
      <c r="F22" s="5" t="s">
        <v>219</v>
      </c>
      <c r="G22" s="5" t="s">
        <v>254</v>
      </c>
      <c r="H22" s="5" t="s">
        <v>255</v>
      </c>
    </row>
    <row r="23" customFormat="false" ht="16.5" hidden="false" customHeight="true" outlineLevel="0" collapsed="false">
      <c r="A23" s="5" t="s">
        <v>40</v>
      </c>
      <c r="B23" s="5" t="s">
        <v>41</v>
      </c>
      <c r="C23" s="5" t="n">
        <v>1</v>
      </c>
      <c r="D23" s="5" t="s">
        <v>256</v>
      </c>
      <c r="E23" s="5" t="s">
        <v>233</v>
      </c>
      <c r="F23" s="5" t="s">
        <v>219</v>
      </c>
      <c r="G23" s="5"/>
      <c r="H23" s="5" t="s">
        <v>257</v>
      </c>
    </row>
    <row r="24" customFormat="false" ht="16.5" hidden="false" customHeight="true" outlineLevel="0" collapsed="false">
      <c r="A24" s="5" t="s">
        <v>40</v>
      </c>
      <c r="B24" s="5" t="s">
        <v>41</v>
      </c>
      <c r="C24" s="5" t="n">
        <v>1</v>
      </c>
      <c r="D24" s="5" t="s">
        <v>256</v>
      </c>
      <c r="E24" s="5" t="s">
        <v>243</v>
      </c>
      <c r="F24" s="5" t="s">
        <v>221</v>
      </c>
      <c r="G24" s="5" t="s">
        <v>258</v>
      </c>
      <c r="H24" s="5" t="s">
        <v>259</v>
      </c>
    </row>
    <row r="25" customFormat="false" ht="16.5" hidden="false" customHeight="true" outlineLevel="0" collapsed="false">
      <c r="A25" s="5" t="s">
        <v>40</v>
      </c>
      <c r="B25" s="5" t="s">
        <v>41</v>
      </c>
      <c r="C25" s="5" t="n">
        <v>1</v>
      </c>
      <c r="D25" s="5" t="s">
        <v>256</v>
      </c>
      <c r="E25" s="5" t="s">
        <v>243</v>
      </c>
      <c r="F25" s="5" t="s">
        <v>219</v>
      </c>
      <c r="G25" s="5"/>
      <c r="H25" s="5" t="s">
        <v>260</v>
      </c>
    </row>
    <row r="26" customFormat="false" ht="16.5" hidden="false" customHeight="true" outlineLevel="0" collapsed="false">
      <c r="A26" s="5" t="s">
        <v>40</v>
      </c>
      <c r="B26" s="5" t="s">
        <v>41</v>
      </c>
      <c r="C26" s="5" t="n">
        <v>1</v>
      </c>
      <c r="D26" s="5" t="s">
        <v>256</v>
      </c>
      <c r="E26" s="5" t="s">
        <v>248</v>
      </c>
      <c r="F26" s="5" t="s">
        <v>221</v>
      </c>
      <c r="G26" s="5" t="s">
        <v>261</v>
      </c>
      <c r="H26" s="5" t="s">
        <v>262</v>
      </c>
    </row>
    <row r="27" customFormat="false" ht="16.5" hidden="false" customHeight="true" outlineLevel="0" collapsed="false">
      <c r="A27" s="5" t="s">
        <v>40</v>
      </c>
      <c r="B27" s="5" t="s">
        <v>41</v>
      </c>
      <c r="C27" s="5" t="n">
        <v>1</v>
      </c>
      <c r="D27" s="5" t="s">
        <v>256</v>
      </c>
      <c r="E27" s="5" t="s">
        <v>248</v>
      </c>
      <c r="F27" s="5" t="s">
        <v>219</v>
      </c>
      <c r="G27" s="5"/>
      <c r="H27" s="5" t="s">
        <v>263</v>
      </c>
    </row>
    <row r="28" customFormat="false" ht="16.5" hidden="false" customHeight="true" outlineLevel="0" collapsed="false">
      <c r="A28" s="5" t="s">
        <v>40</v>
      </c>
      <c r="B28" s="5" t="s">
        <v>41</v>
      </c>
      <c r="C28" s="5" t="n">
        <v>1</v>
      </c>
      <c r="D28" s="5" t="s">
        <v>256</v>
      </c>
      <c r="E28" s="5" t="s">
        <v>248</v>
      </c>
      <c r="F28" s="5" t="s">
        <v>221</v>
      </c>
      <c r="G28" s="5" t="s">
        <v>225</v>
      </c>
      <c r="H28" s="5" t="s">
        <v>264</v>
      </c>
    </row>
    <row r="29" customFormat="false" ht="30" hidden="false" customHeight="true" outlineLevel="0" collapsed="false">
      <c r="A29" s="5" t="s">
        <v>40</v>
      </c>
      <c r="B29" s="5" t="s">
        <v>41</v>
      </c>
      <c r="C29" s="5" t="n">
        <v>1</v>
      </c>
      <c r="D29" s="5" t="s">
        <v>256</v>
      </c>
      <c r="E29" s="5" t="s">
        <v>248</v>
      </c>
      <c r="F29" s="5" t="s">
        <v>219</v>
      </c>
      <c r="G29" s="5"/>
      <c r="H29" s="5" t="s">
        <v>265</v>
      </c>
    </row>
    <row r="30" customFormat="false" ht="16.5" hidden="false" customHeight="true" outlineLevel="0" collapsed="false">
      <c r="A30" s="5" t="s">
        <v>40</v>
      </c>
      <c r="B30" s="5" t="s">
        <v>41</v>
      </c>
      <c r="C30" s="5" t="n">
        <v>1</v>
      </c>
      <c r="D30" s="5" t="s">
        <v>256</v>
      </c>
      <c r="E30" s="5" t="s">
        <v>250</v>
      </c>
      <c r="F30" s="5" t="s">
        <v>221</v>
      </c>
      <c r="G30" s="5" t="s">
        <v>266</v>
      </c>
      <c r="H30" s="5" t="s">
        <v>231</v>
      </c>
    </row>
    <row r="31" customFormat="false" ht="16.5" hidden="false" customHeight="true" outlineLevel="0" collapsed="false">
      <c r="A31" s="5" t="s">
        <v>40</v>
      </c>
      <c r="B31" s="5" t="s">
        <v>41</v>
      </c>
      <c r="C31" s="5" t="n">
        <v>1</v>
      </c>
      <c r="D31" s="5" t="s">
        <v>256</v>
      </c>
      <c r="E31" s="5" t="s">
        <v>250</v>
      </c>
      <c r="F31" s="5" t="s">
        <v>219</v>
      </c>
      <c r="G31" s="5"/>
      <c r="H31" s="5" t="s">
        <v>267</v>
      </c>
    </row>
    <row r="32" customFormat="false" ht="16.5" hidden="false" customHeight="true" outlineLevel="0" collapsed="false">
      <c r="A32" s="5" t="s">
        <v>40</v>
      </c>
      <c r="B32" s="5" t="s">
        <v>41</v>
      </c>
      <c r="C32" s="5" t="n">
        <v>1</v>
      </c>
      <c r="D32" s="5" t="s">
        <v>256</v>
      </c>
      <c r="E32" s="5" t="s">
        <v>253</v>
      </c>
      <c r="F32" s="5" t="s">
        <v>221</v>
      </c>
      <c r="G32" s="5" t="s">
        <v>225</v>
      </c>
      <c r="H32" s="5" t="s">
        <v>268</v>
      </c>
    </row>
    <row r="33" customFormat="false" ht="16.5" hidden="false" customHeight="true" outlineLevel="0" collapsed="false">
      <c r="A33" s="5" t="s">
        <v>40</v>
      </c>
      <c r="B33" s="5" t="s">
        <v>41</v>
      </c>
      <c r="C33" s="5" t="n">
        <v>1</v>
      </c>
      <c r="D33" s="5" t="s">
        <v>256</v>
      </c>
      <c r="E33" s="5" t="s">
        <v>253</v>
      </c>
      <c r="F33" s="5" t="s">
        <v>219</v>
      </c>
      <c r="G33" s="5" t="s">
        <v>236</v>
      </c>
      <c r="H33" s="5" t="s">
        <v>269</v>
      </c>
    </row>
    <row r="34" customFormat="false" ht="30" hidden="false" customHeight="true" outlineLevel="0" collapsed="false">
      <c r="A34" s="5" t="s">
        <v>40</v>
      </c>
      <c r="B34" s="5" t="s">
        <v>41</v>
      </c>
      <c r="C34" s="5" t="n">
        <v>1</v>
      </c>
      <c r="D34" s="5" t="s">
        <v>270</v>
      </c>
      <c r="E34" s="5" t="s">
        <v>248</v>
      </c>
      <c r="F34" s="5" t="s">
        <v>219</v>
      </c>
      <c r="G34" s="5" t="s">
        <v>271</v>
      </c>
      <c r="H34" s="5" t="s">
        <v>272</v>
      </c>
    </row>
    <row r="35" customFormat="false" ht="16.5" hidden="false" customHeight="true" outlineLevel="0" collapsed="false">
      <c r="A35" s="5" t="s">
        <v>40</v>
      </c>
      <c r="B35" s="5" t="s">
        <v>41</v>
      </c>
      <c r="C35" s="5" t="n">
        <v>1</v>
      </c>
      <c r="D35" s="5" t="s">
        <v>270</v>
      </c>
      <c r="E35" s="5" t="s">
        <v>250</v>
      </c>
      <c r="F35" s="5" t="s">
        <v>221</v>
      </c>
      <c r="G35" s="5" t="s">
        <v>273</v>
      </c>
      <c r="H35" s="5" t="s">
        <v>274</v>
      </c>
    </row>
    <row r="36" customFormat="false" ht="30" hidden="false" customHeight="true" outlineLevel="0" collapsed="false">
      <c r="A36" s="5" t="s">
        <v>40</v>
      </c>
      <c r="B36" s="5" t="s">
        <v>41</v>
      </c>
      <c r="C36" s="5" t="n">
        <v>1</v>
      </c>
      <c r="D36" s="5" t="s">
        <v>270</v>
      </c>
      <c r="E36" s="5" t="s">
        <v>253</v>
      </c>
      <c r="F36" s="5" t="s">
        <v>219</v>
      </c>
      <c r="G36" s="5" t="s">
        <v>275</v>
      </c>
      <c r="H36" s="5" t="s">
        <v>276</v>
      </c>
    </row>
    <row r="37" customFormat="false" ht="16.5" hidden="false" customHeight="true" outlineLevel="0" collapsed="false">
      <c r="A37" s="5" t="s">
        <v>40</v>
      </c>
      <c r="B37" s="5" t="s">
        <v>41</v>
      </c>
      <c r="C37" s="5" t="n">
        <v>1</v>
      </c>
      <c r="D37" s="5" t="s">
        <v>270</v>
      </c>
      <c r="E37" s="5" t="s">
        <v>253</v>
      </c>
      <c r="F37" s="5" t="s">
        <v>221</v>
      </c>
      <c r="G37" s="5" t="s">
        <v>277</v>
      </c>
      <c r="H37" s="5" t="s">
        <v>278</v>
      </c>
    </row>
    <row r="38" customFormat="false" ht="30" hidden="false" customHeight="true" outlineLevel="0" collapsed="false">
      <c r="A38" s="5" t="s">
        <v>40</v>
      </c>
      <c r="B38" s="5" t="s">
        <v>41</v>
      </c>
      <c r="C38" s="5" t="n">
        <v>1</v>
      </c>
      <c r="D38" s="5" t="s">
        <v>270</v>
      </c>
      <c r="E38" s="5" t="s">
        <v>279</v>
      </c>
      <c r="F38" s="5" t="s">
        <v>219</v>
      </c>
      <c r="G38" s="5" t="s">
        <v>275</v>
      </c>
      <c r="H38" s="5" t="s">
        <v>280</v>
      </c>
    </row>
    <row r="39" customFormat="false" ht="16.5" hidden="false" customHeight="true" outlineLevel="0" collapsed="false">
      <c r="A39" s="5" t="s">
        <v>40</v>
      </c>
      <c r="B39" s="5" t="s">
        <v>41</v>
      </c>
      <c r="C39" s="5" t="n">
        <v>1</v>
      </c>
      <c r="D39" s="5" t="s">
        <v>270</v>
      </c>
      <c r="E39" s="5" t="s">
        <v>281</v>
      </c>
      <c r="F39" s="5" t="s">
        <v>219</v>
      </c>
      <c r="G39" s="5" t="s">
        <v>282</v>
      </c>
      <c r="H39" s="5" t="s">
        <v>283</v>
      </c>
    </row>
    <row r="40" customFormat="false" ht="16.5" hidden="false" customHeight="true" outlineLevel="0" collapsed="false">
      <c r="A40" s="5" t="s">
        <v>40</v>
      </c>
      <c r="B40" s="5" t="s">
        <v>41</v>
      </c>
      <c r="C40" s="5" t="n">
        <v>1</v>
      </c>
      <c r="D40" s="5" t="s">
        <v>270</v>
      </c>
      <c r="E40" s="5" t="s">
        <v>284</v>
      </c>
      <c r="F40" s="5" t="s">
        <v>219</v>
      </c>
      <c r="G40" s="5" t="s">
        <v>285</v>
      </c>
      <c r="H40" s="5" t="s">
        <v>286</v>
      </c>
    </row>
    <row r="41" customFormat="false" ht="16.5" hidden="false" customHeight="true" outlineLevel="0" collapsed="false">
      <c r="A41" s="5" t="s">
        <v>40</v>
      </c>
      <c r="B41" s="5" t="s">
        <v>41</v>
      </c>
      <c r="C41" s="5" t="n">
        <v>1</v>
      </c>
      <c r="D41" s="5" t="s">
        <v>270</v>
      </c>
      <c r="E41" s="5" t="s">
        <v>287</v>
      </c>
      <c r="F41" s="5" t="s">
        <v>219</v>
      </c>
      <c r="G41" s="5" t="s">
        <v>288</v>
      </c>
      <c r="H41" s="5" t="s">
        <v>289</v>
      </c>
    </row>
    <row r="42" customFormat="false" ht="30" hidden="false" customHeight="true" outlineLevel="0" collapsed="false">
      <c r="A42" s="5" t="s">
        <v>40</v>
      </c>
      <c r="B42" s="5" t="s">
        <v>41</v>
      </c>
      <c r="C42" s="5" t="n">
        <v>2</v>
      </c>
      <c r="D42" s="5" t="s">
        <v>217</v>
      </c>
      <c r="E42" s="5" t="s">
        <v>290</v>
      </c>
      <c r="F42" s="5" t="s">
        <v>219</v>
      </c>
      <c r="G42" s="5"/>
      <c r="H42" s="5" t="s">
        <v>291</v>
      </c>
    </row>
    <row r="43" customFormat="false" ht="42.75" hidden="false" customHeight="true" outlineLevel="0" collapsed="false">
      <c r="A43" s="5" t="s">
        <v>40</v>
      </c>
      <c r="B43" s="5" t="s">
        <v>41</v>
      </c>
      <c r="C43" s="5" t="n">
        <v>2</v>
      </c>
      <c r="D43" s="5" t="s">
        <v>217</v>
      </c>
      <c r="E43" s="5" t="s">
        <v>292</v>
      </c>
      <c r="F43" s="5" t="s">
        <v>221</v>
      </c>
      <c r="G43" s="5" t="s">
        <v>222</v>
      </c>
      <c r="H43" s="5" t="s">
        <v>293</v>
      </c>
    </row>
    <row r="44" customFormat="false" ht="16.5" hidden="false" customHeight="true" outlineLevel="0" collapsed="false">
      <c r="A44" s="5" t="s">
        <v>40</v>
      </c>
      <c r="B44" s="5" t="s">
        <v>41</v>
      </c>
      <c r="C44" s="5" t="n">
        <v>2</v>
      </c>
      <c r="D44" s="5" t="s">
        <v>217</v>
      </c>
      <c r="E44" s="5" t="s">
        <v>292</v>
      </c>
      <c r="F44" s="5" t="s">
        <v>219</v>
      </c>
      <c r="G44" s="5"/>
      <c r="H44" s="5" t="s">
        <v>294</v>
      </c>
    </row>
    <row r="45" customFormat="false" ht="42.75" hidden="false" customHeight="true" outlineLevel="0" collapsed="false">
      <c r="A45" s="5" t="s">
        <v>40</v>
      </c>
      <c r="B45" s="5" t="s">
        <v>41</v>
      </c>
      <c r="C45" s="5" t="n">
        <v>2</v>
      </c>
      <c r="D45" s="5" t="s">
        <v>217</v>
      </c>
      <c r="E45" s="5" t="s">
        <v>292</v>
      </c>
      <c r="F45" s="5" t="s">
        <v>221</v>
      </c>
      <c r="G45" s="5" t="s">
        <v>225</v>
      </c>
      <c r="H45" s="5" t="s">
        <v>295</v>
      </c>
    </row>
    <row r="46" customFormat="false" ht="16.5" hidden="false" customHeight="true" outlineLevel="0" collapsed="false">
      <c r="A46" s="5" t="s">
        <v>40</v>
      </c>
      <c r="B46" s="5" t="s">
        <v>41</v>
      </c>
      <c r="C46" s="5" t="n">
        <v>2</v>
      </c>
      <c r="D46" s="5" t="s">
        <v>217</v>
      </c>
      <c r="E46" s="5" t="s">
        <v>292</v>
      </c>
      <c r="F46" s="5" t="s">
        <v>219</v>
      </c>
      <c r="G46" s="5"/>
      <c r="H46" s="5" t="s">
        <v>296</v>
      </c>
    </row>
    <row r="47" customFormat="false" ht="42.75" hidden="false" customHeight="true" outlineLevel="0" collapsed="false">
      <c r="A47" s="5" t="s">
        <v>40</v>
      </c>
      <c r="B47" s="5" t="s">
        <v>41</v>
      </c>
      <c r="C47" s="5" t="n">
        <v>2</v>
      </c>
      <c r="D47" s="5" t="s">
        <v>238</v>
      </c>
      <c r="E47" s="5" t="s">
        <v>297</v>
      </c>
      <c r="F47" s="5" t="s">
        <v>219</v>
      </c>
      <c r="G47" s="5" t="s">
        <v>298</v>
      </c>
      <c r="H47" s="5" t="s">
        <v>299</v>
      </c>
    </row>
    <row r="48" customFormat="false" ht="42.75" hidden="false" customHeight="true" outlineLevel="0" collapsed="false">
      <c r="A48" s="5" t="s">
        <v>40</v>
      </c>
      <c r="B48" s="5" t="s">
        <v>41</v>
      </c>
      <c r="C48" s="5" t="n">
        <v>2</v>
      </c>
      <c r="D48" s="5" t="s">
        <v>238</v>
      </c>
      <c r="E48" s="5" t="s">
        <v>297</v>
      </c>
      <c r="F48" s="5" t="s">
        <v>221</v>
      </c>
      <c r="G48" s="5" t="s">
        <v>300</v>
      </c>
      <c r="H48" s="5" t="s">
        <v>301</v>
      </c>
    </row>
    <row r="49" customFormat="false" ht="16.5" hidden="false" customHeight="true" outlineLevel="0" collapsed="false">
      <c r="A49" s="5" t="s">
        <v>40</v>
      </c>
      <c r="B49" s="5" t="s">
        <v>41</v>
      </c>
      <c r="C49" s="5" t="n">
        <v>2</v>
      </c>
      <c r="D49" s="5" t="s">
        <v>238</v>
      </c>
      <c r="E49" s="5" t="s">
        <v>302</v>
      </c>
      <c r="F49" s="5" t="s">
        <v>219</v>
      </c>
      <c r="G49" s="5" t="s">
        <v>303</v>
      </c>
      <c r="H49" s="5" t="s">
        <v>304</v>
      </c>
    </row>
    <row r="50" customFormat="false" ht="55.5" hidden="false" customHeight="true" outlineLevel="0" collapsed="false">
      <c r="A50" s="5" t="s">
        <v>40</v>
      </c>
      <c r="B50" s="5" t="s">
        <v>41</v>
      </c>
      <c r="C50" s="5" t="n">
        <v>2</v>
      </c>
      <c r="D50" s="5" t="s">
        <v>238</v>
      </c>
      <c r="E50" s="5" t="s">
        <v>305</v>
      </c>
      <c r="F50" s="5" t="s">
        <v>221</v>
      </c>
      <c r="G50" s="5" t="s">
        <v>306</v>
      </c>
      <c r="H50" s="5" t="s">
        <v>307</v>
      </c>
    </row>
    <row r="51" customFormat="false" ht="16.5" hidden="false" customHeight="true" outlineLevel="0" collapsed="false">
      <c r="A51" s="5" t="s">
        <v>40</v>
      </c>
      <c r="B51" s="5" t="s">
        <v>41</v>
      </c>
      <c r="C51" s="5" t="n">
        <v>2</v>
      </c>
      <c r="D51" s="5" t="s">
        <v>238</v>
      </c>
      <c r="E51" s="5" t="s">
        <v>308</v>
      </c>
      <c r="F51" s="5" t="s">
        <v>219</v>
      </c>
      <c r="G51" s="5" t="s">
        <v>303</v>
      </c>
      <c r="H51" s="5" t="s">
        <v>309</v>
      </c>
    </row>
    <row r="52" customFormat="false" ht="16.5" hidden="false" customHeight="true" outlineLevel="0" collapsed="false">
      <c r="A52" s="5" t="s">
        <v>40</v>
      </c>
      <c r="B52" s="5" t="s">
        <v>41</v>
      </c>
      <c r="C52" s="5" t="n">
        <v>2</v>
      </c>
      <c r="D52" s="5" t="s">
        <v>256</v>
      </c>
      <c r="E52" s="5" t="s">
        <v>292</v>
      </c>
      <c r="F52" s="5" t="s">
        <v>219</v>
      </c>
      <c r="G52" s="5"/>
      <c r="H52" s="5" t="s">
        <v>310</v>
      </c>
    </row>
    <row r="53" customFormat="false" ht="30" hidden="false" customHeight="true" outlineLevel="0" collapsed="false">
      <c r="A53" s="5" t="s">
        <v>40</v>
      </c>
      <c r="B53" s="5" t="s">
        <v>41</v>
      </c>
      <c r="C53" s="5" t="n">
        <v>2</v>
      </c>
      <c r="D53" s="5" t="s">
        <v>256</v>
      </c>
      <c r="E53" s="5" t="s">
        <v>297</v>
      </c>
      <c r="F53" s="5" t="s">
        <v>221</v>
      </c>
      <c r="G53" s="5" t="s">
        <v>258</v>
      </c>
      <c r="H53" s="5" t="s">
        <v>311</v>
      </c>
    </row>
    <row r="54" customFormat="false" ht="16.5" hidden="false" customHeight="true" outlineLevel="0" collapsed="false">
      <c r="A54" s="5" t="s">
        <v>40</v>
      </c>
      <c r="B54" s="5" t="s">
        <v>41</v>
      </c>
      <c r="C54" s="5" t="n">
        <v>2</v>
      </c>
      <c r="D54" s="5" t="s">
        <v>256</v>
      </c>
      <c r="E54" s="5" t="s">
        <v>297</v>
      </c>
      <c r="F54" s="5" t="s">
        <v>219</v>
      </c>
      <c r="G54" s="5"/>
      <c r="H54" s="5" t="s">
        <v>312</v>
      </c>
    </row>
    <row r="55" customFormat="false" ht="30" hidden="false" customHeight="true" outlineLevel="0" collapsed="false">
      <c r="A55" s="5" t="s">
        <v>40</v>
      </c>
      <c r="B55" s="5" t="s">
        <v>41</v>
      </c>
      <c r="C55" s="5" t="n">
        <v>2</v>
      </c>
      <c r="D55" s="5" t="s">
        <v>256</v>
      </c>
      <c r="E55" s="5" t="s">
        <v>302</v>
      </c>
      <c r="F55" s="5" t="s">
        <v>221</v>
      </c>
      <c r="G55" s="5" t="s">
        <v>234</v>
      </c>
      <c r="H55" s="5" t="s">
        <v>313</v>
      </c>
    </row>
    <row r="56" customFormat="false" ht="16.5" hidden="false" customHeight="true" outlineLevel="0" collapsed="false">
      <c r="A56" s="5" t="s">
        <v>40</v>
      </c>
      <c r="B56" s="5" t="s">
        <v>41</v>
      </c>
      <c r="C56" s="5" t="n">
        <v>2</v>
      </c>
      <c r="D56" s="5" t="s">
        <v>256</v>
      </c>
      <c r="E56" s="5" t="s">
        <v>302</v>
      </c>
      <c r="F56" s="5" t="s">
        <v>219</v>
      </c>
      <c r="G56" s="5"/>
      <c r="H56" s="5" t="s">
        <v>314</v>
      </c>
    </row>
    <row r="57" customFormat="false" ht="16.5" hidden="false" customHeight="true" outlineLevel="0" collapsed="false">
      <c r="A57" s="5" t="s">
        <v>40</v>
      </c>
      <c r="B57" s="5" t="s">
        <v>41</v>
      </c>
      <c r="C57" s="5" t="n">
        <v>2</v>
      </c>
      <c r="D57" s="5" t="s">
        <v>256</v>
      </c>
      <c r="E57" s="5" t="s">
        <v>302</v>
      </c>
      <c r="F57" s="5" t="s">
        <v>221</v>
      </c>
      <c r="G57" s="5" t="s">
        <v>225</v>
      </c>
      <c r="H57" s="5" t="s">
        <v>315</v>
      </c>
    </row>
    <row r="58" customFormat="false" ht="16.5" hidden="false" customHeight="true" outlineLevel="0" collapsed="false">
      <c r="A58" s="5" t="s">
        <v>40</v>
      </c>
      <c r="B58" s="5" t="s">
        <v>41</v>
      </c>
      <c r="C58" s="5" t="n">
        <v>2</v>
      </c>
      <c r="D58" s="5" t="s">
        <v>256</v>
      </c>
      <c r="E58" s="5" t="s">
        <v>302</v>
      </c>
      <c r="F58" s="5" t="s">
        <v>219</v>
      </c>
      <c r="G58" s="5"/>
      <c r="H58" s="5" t="s">
        <v>316</v>
      </c>
    </row>
    <row r="59" customFormat="false" ht="42.75" hidden="false" customHeight="true" outlineLevel="0" collapsed="false">
      <c r="A59" s="5" t="s">
        <v>40</v>
      </c>
      <c r="B59" s="5" t="s">
        <v>41</v>
      </c>
      <c r="C59" s="5" t="n">
        <v>2</v>
      </c>
      <c r="D59" s="5" t="s">
        <v>256</v>
      </c>
      <c r="E59" s="5" t="s">
        <v>305</v>
      </c>
      <c r="F59" s="5" t="s">
        <v>221</v>
      </c>
      <c r="G59" s="5" t="s">
        <v>266</v>
      </c>
      <c r="H59" s="5" t="s">
        <v>317</v>
      </c>
    </row>
    <row r="60" customFormat="false" ht="16.5" hidden="false" customHeight="true" outlineLevel="0" collapsed="false">
      <c r="A60" s="5" t="s">
        <v>40</v>
      </c>
      <c r="B60" s="5" t="s">
        <v>41</v>
      </c>
      <c r="C60" s="5" t="n">
        <v>2</v>
      </c>
      <c r="D60" s="5" t="s">
        <v>256</v>
      </c>
      <c r="E60" s="5" t="s">
        <v>305</v>
      </c>
      <c r="F60" s="5" t="s">
        <v>219</v>
      </c>
      <c r="G60" s="5"/>
      <c r="H60" s="5" t="s">
        <v>318</v>
      </c>
    </row>
    <row r="61" customFormat="false" ht="30" hidden="false" customHeight="true" outlineLevel="0" collapsed="false">
      <c r="A61" s="5" t="s">
        <v>40</v>
      </c>
      <c r="B61" s="5" t="s">
        <v>41</v>
      </c>
      <c r="C61" s="5" t="n">
        <v>2</v>
      </c>
      <c r="D61" s="5" t="s">
        <v>270</v>
      </c>
      <c r="E61" s="5" t="s">
        <v>302</v>
      </c>
      <c r="F61" s="5" t="s">
        <v>219</v>
      </c>
      <c r="G61" s="5" t="s">
        <v>271</v>
      </c>
      <c r="H61" s="5" t="s">
        <v>319</v>
      </c>
    </row>
    <row r="62" customFormat="false" ht="42.75" hidden="false" customHeight="true" outlineLevel="0" collapsed="false">
      <c r="A62" s="5" t="s">
        <v>40</v>
      </c>
      <c r="B62" s="5" t="s">
        <v>41</v>
      </c>
      <c r="C62" s="5" t="n">
        <v>2</v>
      </c>
      <c r="D62" s="5" t="s">
        <v>270</v>
      </c>
      <c r="E62" s="5" t="s">
        <v>302</v>
      </c>
      <c r="F62" s="5" t="s">
        <v>221</v>
      </c>
      <c r="G62" s="5" t="s">
        <v>277</v>
      </c>
      <c r="H62" s="5" t="s">
        <v>320</v>
      </c>
    </row>
    <row r="63" customFormat="false" ht="16.5" hidden="false" customHeight="true" outlineLevel="0" collapsed="false">
      <c r="A63" s="5" t="s">
        <v>40</v>
      </c>
      <c r="B63" s="5" t="s">
        <v>41</v>
      </c>
      <c r="C63" s="5" t="n">
        <v>2</v>
      </c>
      <c r="D63" s="5" t="s">
        <v>270</v>
      </c>
      <c r="E63" s="5" t="s">
        <v>305</v>
      </c>
      <c r="F63" s="5" t="s">
        <v>219</v>
      </c>
      <c r="G63" s="5" t="s">
        <v>275</v>
      </c>
      <c r="H63" s="5" t="s">
        <v>321</v>
      </c>
    </row>
    <row r="64" customFormat="false" ht="42.75" hidden="false" customHeight="true" outlineLevel="0" collapsed="false">
      <c r="A64" s="5" t="s">
        <v>40</v>
      </c>
      <c r="B64" s="5" t="s">
        <v>41</v>
      </c>
      <c r="C64" s="5" t="n">
        <v>2</v>
      </c>
      <c r="D64" s="5" t="s">
        <v>270</v>
      </c>
      <c r="E64" s="5" t="s">
        <v>308</v>
      </c>
      <c r="F64" s="5" t="s">
        <v>221</v>
      </c>
      <c r="G64" s="5" t="s">
        <v>322</v>
      </c>
      <c r="H64" s="5" t="s">
        <v>323</v>
      </c>
    </row>
    <row r="65" customFormat="false" ht="16.5" hidden="false" customHeight="true" outlineLevel="0" collapsed="false">
      <c r="A65" s="5" t="s">
        <v>40</v>
      </c>
      <c r="B65" s="5" t="s">
        <v>41</v>
      </c>
      <c r="C65" s="5" t="n">
        <v>2</v>
      </c>
      <c r="D65" s="5" t="s">
        <v>270</v>
      </c>
      <c r="E65" s="5" t="s">
        <v>324</v>
      </c>
      <c r="F65" s="5" t="s">
        <v>219</v>
      </c>
      <c r="G65" s="5" t="s">
        <v>275</v>
      </c>
      <c r="H65" s="5" t="s">
        <v>325</v>
      </c>
    </row>
    <row r="66" customFormat="false" ht="30" hidden="false" customHeight="true" outlineLevel="0" collapsed="false">
      <c r="A66" s="5" t="s">
        <v>43</v>
      </c>
      <c r="B66" s="5" t="s">
        <v>44</v>
      </c>
      <c r="C66" s="5" t="n">
        <v>1</v>
      </c>
      <c r="D66" s="5" t="s">
        <v>217</v>
      </c>
      <c r="E66" s="5" t="s">
        <v>326</v>
      </c>
      <c r="F66" s="5" t="s">
        <v>219</v>
      </c>
      <c r="G66" s="5"/>
      <c r="H66" s="5" t="s">
        <v>220</v>
      </c>
    </row>
    <row r="67" customFormat="false" ht="16.5" hidden="false" customHeight="true" outlineLevel="0" collapsed="false">
      <c r="A67" s="5" t="s">
        <v>43</v>
      </c>
      <c r="B67" s="5" t="s">
        <v>44</v>
      </c>
      <c r="C67" s="5" t="n">
        <v>1</v>
      </c>
      <c r="D67" s="5" t="s">
        <v>217</v>
      </c>
      <c r="E67" s="5" t="s">
        <v>326</v>
      </c>
      <c r="F67" s="5" t="s">
        <v>221</v>
      </c>
      <c r="G67" s="5" t="s">
        <v>222</v>
      </c>
      <c r="H67" s="5" t="s">
        <v>223</v>
      </c>
    </row>
    <row r="68" customFormat="false" ht="16.5" hidden="false" customHeight="true" outlineLevel="0" collapsed="false">
      <c r="A68" s="5" t="s">
        <v>43</v>
      </c>
      <c r="B68" s="5" t="s">
        <v>44</v>
      </c>
      <c r="C68" s="5" t="n">
        <v>1</v>
      </c>
      <c r="D68" s="5" t="s">
        <v>217</v>
      </c>
      <c r="E68" s="5" t="s">
        <v>326</v>
      </c>
      <c r="F68" s="5" t="s">
        <v>219</v>
      </c>
      <c r="G68" s="5"/>
      <c r="H68" s="5" t="s">
        <v>224</v>
      </c>
    </row>
    <row r="69" customFormat="false" ht="16.5" hidden="false" customHeight="true" outlineLevel="0" collapsed="false">
      <c r="A69" s="5" t="s">
        <v>43</v>
      </c>
      <c r="B69" s="5" t="s">
        <v>44</v>
      </c>
      <c r="C69" s="5" t="n">
        <v>1</v>
      </c>
      <c r="D69" s="5" t="s">
        <v>217</v>
      </c>
      <c r="E69" s="5" t="s">
        <v>327</v>
      </c>
      <c r="F69" s="5" t="s">
        <v>221</v>
      </c>
      <c r="G69" s="5" t="s">
        <v>225</v>
      </c>
      <c r="H69" s="5" t="s">
        <v>226</v>
      </c>
    </row>
    <row r="70" customFormat="false" ht="16.5" hidden="false" customHeight="true" outlineLevel="0" collapsed="false">
      <c r="A70" s="5" t="s">
        <v>43</v>
      </c>
      <c r="B70" s="5" t="s">
        <v>44</v>
      </c>
      <c r="C70" s="5" t="n">
        <v>1</v>
      </c>
      <c r="D70" s="5" t="s">
        <v>217</v>
      </c>
      <c r="E70" s="5" t="s">
        <v>327</v>
      </c>
      <c r="F70" s="5" t="s">
        <v>219</v>
      </c>
      <c r="G70" s="5"/>
      <c r="H70" s="5" t="s">
        <v>227</v>
      </c>
    </row>
    <row r="71" customFormat="false" ht="16.5" hidden="false" customHeight="true" outlineLevel="0" collapsed="false">
      <c r="A71" s="5" t="s">
        <v>43</v>
      </c>
      <c r="B71" s="5" t="s">
        <v>44</v>
      </c>
      <c r="C71" s="5" t="n">
        <v>1</v>
      </c>
      <c r="D71" s="5" t="s">
        <v>217</v>
      </c>
      <c r="E71" s="5" t="s">
        <v>327</v>
      </c>
      <c r="F71" s="5" t="s">
        <v>221</v>
      </c>
      <c r="G71" s="5" t="s">
        <v>225</v>
      </c>
      <c r="H71" s="5" t="s">
        <v>229</v>
      </c>
    </row>
    <row r="72" customFormat="false" ht="16.5" hidden="false" customHeight="true" outlineLevel="0" collapsed="false">
      <c r="A72" s="5" t="s">
        <v>43</v>
      </c>
      <c r="B72" s="5" t="s">
        <v>44</v>
      </c>
      <c r="C72" s="5" t="n">
        <v>1</v>
      </c>
      <c r="D72" s="5" t="s">
        <v>217</v>
      </c>
      <c r="E72" s="5" t="s">
        <v>327</v>
      </c>
      <c r="F72" s="5" t="s">
        <v>219</v>
      </c>
      <c r="G72" s="5"/>
      <c r="H72" s="5" t="s">
        <v>230</v>
      </c>
    </row>
    <row r="73" customFormat="false" ht="16.5" hidden="false" customHeight="true" outlineLevel="0" collapsed="false">
      <c r="A73" s="5" t="s">
        <v>43</v>
      </c>
      <c r="B73" s="5" t="s">
        <v>44</v>
      </c>
      <c r="C73" s="5" t="n">
        <v>1</v>
      </c>
      <c r="D73" s="5" t="s">
        <v>217</v>
      </c>
      <c r="E73" s="5" t="s">
        <v>328</v>
      </c>
      <c r="F73" s="5" t="s">
        <v>221</v>
      </c>
      <c r="G73" s="5" t="s">
        <v>225</v>
      </c>
      <c r="H73" s="5" t="s">
        <v>231</v>
      </c>
    </row>
    <row r="74" customFormat="false" ht="16.5" hidden="false" customHeight="true" outlineLevel="0" collapsed="false">
      <c r="A74" s="5" t="s">
        <v>43</v>
      </c>
      <c r="B74" s="5" t="s">
        <v>44</v>
      </c>
      <c r="C74" s="5" t="n">
        <v>1</v>
      </c>
      <c r="D74" s="5" t="s">
        <v>217</v>
      </c>
      <c r="E74" s="5" t="s">
        <v>328</v>
      </c>
      <c r="F74" s="5" t="s">
        <v>219</v>
      </c>
      <c r="G74" s="5"/>
      <c r="H74" s="5" t="s">
        <v>232</v>
      </c>
    </row>
    <row r="75" customFormat="false" ht="16.5" hidden="false" customHeight="true" outlineLevel="0" collapsed="false">
      <c r="A75" s="5" t="s">
        <v>43</v>
      </c>
      <c r="B75" s="5" t="s">
        <v>44</v>
      </c>
      <c r="C75" s="5" t="n">
        <v>1</v>
      </c>
      <c r="D75" s="5" t="s">
        <v>217</v>
      </c>
      <c r="E75" s="5" t="s">
        <v>329</v>
      </c>
      <c r="F75" s="5" t="s">
        <v>221</v>
      </c>
      <c r="G75" s="5" t="s">
        <v>234</v>
      </c>
      <c r="H75" s="5" t="s">
        <v>235</v>
      </c>
    </row>
    <row r="76" customFormat="false" ht="16.5" hidden="false" customHeight="true" outlineLevel="0" collapsed="false">
      <c r="A76" s="5" t="s">
        <v>43</v>
      </c>
      <c r="B76" s="5" t="s">
        <v>44</v>
      </c>
      <c r="C76" s="5" t="n">
        <v>1</v>
      </c>
      <c r="D76" s="5" t="s">
        <v>217</v>
      </c>
      <c r="E76" s="5" t="s">
        <v>329</v>
      </c>
      <c r="F76" s="5" t="s">
        <v>219</v>
      </c>
      <c r="G76" s="5" t="s">
        <v>236</v>
      </c>
      <c r="H76" s="5" t="s">
        <v>237</v>
      </c>
    </row>
    <row r="77" customFormat="false" ht="42.75" hidden="false" customHeight="true" outlineLevel="0" collapsed="false">
      <c r="A77" s="5" t="s">
        <v>43</v>
      </c>
      <c r="B77" s="5" t="s">
        <v>44</v>
      </c>
      <c r="C77" s="5" t="n">
        <v>1</v>
      </c>
      <c r="D77" s="5" t="s">
        <v>238</v>
      </c>
      <c r="E77" s="5" t="s">
        <v>327</v>
      </c>
      <c r="F77" s="5" t="s">
        <v>219</v>
      </c>
      <c r="G77" s="5" t="s">
        <v>239</v>
      </c>
      <c r="H77" s="5" t="s">
        <v>240</v>
      </c>
    </row>
    <row r="78" customFormat="false" ht="16.5" hidden="false" customHeight="true" outlineLevel="0" collapsed="false">
      <c r="A78" s="5" t="s">
        <v>43</v>
      </c>
      <c r="B78" s="5" t="s">
        <v>44</v>
      </c>
      <c r="C78" s="5" t="n">
        <v>1</v>
      </c>
      <c r="D78" s="5" t="s">
        <v>238</v>
      </c>
      <c r="E78" s="5" t="s">
        <v>328</v>
      </c>
      <c r="F78" s="5" t="s">
        <v>221</v>
      </c>
      <c r="G78" s="5" t="s">
        <v>241</v>
      </c>
      <c r="H78" s="5" t="s">
        <v>242</v>
      </c>
    </row>
    <row r="79" customFormat="false" ht="30" hidden="false" customHeight="true" outlineLevel="0" collapsed="false">
      <c r="A79" s="5" t="s">
        <v>43</v>
      </c>
      <c r="B79" s="5" t="s">
        <v>44</v>
      </c>
      <c r="C79" s="5" t="n">
        <v>1</v>
      </c>
      <c r="D79" s="5" t="s">
        <v>238</v>
      </c>
      <c r="E79" s="5" t="s">
        <v>329</v>
      </c>
      <c r="F79" s="5" t="s">
        <v>219</v>
      </c>
      <c r="G79" s="5" t="s">
        <v>244</v>
      </c>
      <c r="H79" s="5" t="s">
        <v>245</v>
      </c>
    </row>
    <row r="80" customFormat="false" ht="16.5" hidden="false" customHeight="true" outlineLevel="0" collapsed="false">
      <c r="A80" s="5" t="s">
        <v>43</v>
      </c>
      <c r="B80" s="5" t="s">
        <v>44</v>
      </c>
      <c r="C80" s="5" t="n">
        <v>1</v>
      </c>
      <c r="D80" s="5" t="s">
        <v>238</v>
      </c>
      <c r="E80" s="5" t="s">
        <v>330</v>
      </c>
      <c r="F80" s="5" t="s">
        <v>221</v>
      </c>
      <c r="G80" s="5" t="s">
        <v>246</v>
      </c>
      <c r="H80" s="5" t="s">
        <v>247</v>
      </c>
    </row>
    <row r="81" customFormat="false" ht="30" hidden="false" customHeight="true" outlineLevel="0" collapsed="false">
      <c r="A81" s="5" t="s">
        <v>43</v>
      </c>
      <c r="B81" s="5" t="s">
        <v>44</v>
      </c>
      <c r="C81" s="5" t="n">
        <v>1</v>
      </c>
      <c r="D81" s="5" t="s">
        <v>238</v>
      </c>
      <c r="E81" s="5" t="s">
        <v>331</v>
      </c>
      <c r="F81" s="5" t="s">
        <v>219</v>
      </c>
      <c r="G81" s="5" t="s">
        <v>244</v>
      </c>
      <c r="H81" s="5" t="s">
        <v>249</v>
      </c>
    </row>
    <row r="82" customFormat="false" ht="16.5" hidden="false" customHeight="true" outlineLevel="0" collapsed="false">
      <c r="A82" s="5" t="s">
        <v>43</v>
      </c>
      <c r="B82" s="5" t="s">
        <v>44</v>
      </c>
      <c r="C82" s="5" t="n">
        <v>1</v>
      </c>
      <c r="D82" s="5" t="s">
        <v>238</v>
      </c>
      <c r="E82" s="5" t="s">
        <v>331</v>
      </c>
      <c r="F82" s="5" t="s">
        <v>221</v>
      </c>
      <c r="G82" s="5" t="s">
        <v>251</v>
      </c>
      <c r="H82" s="5" t="s">
        <v>252</v>
      </c>
    </row>
    <row r="83" customFormat="false" ht="16.5" hidden="false" customHeight="true" outlineLevel="0" collapsed="false">
      <c r="A83" s="5" t="s">
        <v>43</v>
      </c>
      <c r="B83" s="5" t="s">
        <v>44</v>
      </c>
      <c r="C83" s="5" t="n">
        <v>1</v>
      </c>
      <c r="D83" s="5" t="s">
        <v>238</v>
      </c>
      <c r="E83" s="5" t="s">
        <v>332</v>
      </c>
      <c r="F83" s="5" t="s">
        <v>219</v>
      </c>
      <c r="G83" s="5" t="s">
        <v>254</v>
      </c>
      <c r="H83" s="5" t="s">
        <v>255</v>
      </c>
    </row>
    <row r="84" customFormat="false" ht="16.5" hidden="false" customHeight="true" outlineLevel="0" collapsed="false">
      <c r="A84" s="5" t="s">
        <v>43</v>
      </c>
      <c r="B84" s="5" t="s">
        <v>44</v>
      </c>
      <c r="C84" s="5" t="n">
        <v>1</v>
      </c>
      <c r="D84" s="5" t="s">
        <v>256</v>
      </c>
      <c r="E84" s="5" t="s">
        <v>329</v>
      </c>
      <c r="F84" s="5" t="s">
        <v>219</v>
      </c>
      <c r="G84" s="5"/>
      <c r="H84" s="5" t="s">
        <v>257</v>
      </c>
    </row>
    <row r="85" customFormat="false" ht="16.5" hidden="false" customHeight="true" outlineLevel="0" collapsed="false">
      <c r="A85" s="5" t="s">
        <v>43</v>
      </c>
      <c r="B85" s="5" t="s">
        <v>44</v>
      </c>
      <c r="C85" s="5" t="n">
        <v>1</v>
      </c>
      <c r="D85" s="5" t="s">
        <v>256</v>
      </c>
      <c r="E85" s="5" t="s">
        <v>329</v>
      </c>
      <c r="F85" s="5" t="s">
        <v>221</v>
      </c>
      <c r="G85" s="5" t="s">
        <v>258</v>
      </c>
      <c r="H85" s="5" t="s">
        <v>259</v>
      </c>
    </row>
    <row r="86" customFormat="false" ht="16.5" hidden="false" customHeight="true" outlineLevel="0" collapsed="false">
      <c r="A86" s="5" t="s">
        <v>43</v>
      </c>
      <c r="B86" s="5" t="s">
        <v>44</v>
      </c>
      <c r="C86" s="5" t="n">
        <v>1</v>
      </c>
      <c r="D86" s="5" t="s">
        <v>256</v>
      </c>
      <c r="E86" s="5" t="s">
        <v>329</v>
      </c>
      <c r="F86" s="5" t="s">
        <v>219</v>
      </c>
      <c r="G86" s="5"/>
      <c r="H86" s="5" t="s">
        <v>260</v>
      </c>
    </row>
    <row r="87" customFormat="false" ht="16.5" hidden="false" customHeight="true" outlineLevel="0" collapsed="false">
      <c r="A87" s="5" t="s">
        <v>43</v>
      </c>
      <c r="B87" s="5" t="s">
        <v>44</v>
      </c>
      <c r="C87" s="5" t="n">
        <v>1</v>
      </c>
      <c r="D87" s="5" t="s">
        <v>256</v>
      </c>
      <c r="E87" s="5" t="s">
        <v>330</v>
      </c>
      <c r="F87" s="5" t="s">
        <v>221</v>
      </c>
      <c r="G87" s="5" t="s">
        <v>261</v>
      </c>
      <c r="H87" s="5" t="s">
        <v>262</v>
      </c>
    </row>
    <row r="88" customFormat="false" ht="16.5" hidden="false" customHeight="true" outlineLevel="0" collapsed="false">
      <c r="A88" s="5" t="s">
        <v>43</v>
      </c>
      <c r="B88" s="5" t="s">
        <v>44</v>
      </c>
      <c r="C88" s="5" t="n">
        <v>1</v>
      </c>
      <c r="D88" s="5" t="s">
        <v>256</v>
      </c>
      <c r="E88" s="5" t="s">
        <v>330</v>
      </c>
      <c r="F88" s="5" t="s">
        <v>219</v>
      </c>
      <c r="G88" s="5"/>
      <c r="H88" s="5" t="s">
        <v>263</v>
      </c>
    </row>
    <row r="89" customFormat="false" ht="16.5" hidden="false" customHeight="true" outlineLevel="0" collapsed="false">
      <c r="A89" s="5" t="s">
        <v>43</v>
      </c>
      <c r="B89" s="5" t="s">
        <v>44</v>
      </c>
      <c r="C89" s="5" t="n">
        <v>1</v>
      </c>
      <c r="D89" s="5" t="s">
        <v>256</v>
      </c>
      <c r="E89" s="5" t="s">
        <v>331</v>
      </c>
      <c r="F89" s="5" t="s">
        <v>221</v>
      </c>
      <c r="G89" s="5" t="s">
        <v>225</v>
      </c>
      <c r="H89" s="5" t="s">
        <v>264</v>
      </c>
    </row>
    <row r="90" customFormat="false" ht="30" hidden="false" customHeight="true" outlineLevel="0" collapsed="false">
      <c r="A90" s="5" t="s">
        <v>43</v>
      </c>
      <c r="B90" s="5" t="s">
        <v>44</v>
      </c>
      <c r="C90" s="5" t="n">
        <v>1</v>
      </c>
      <c r="D90" s="5" t="s">
        <v>256</v>
      </c>
      <c r="E90" s="5" t="s">
        <v>331</v>
      </c>
      <c r="F90" s="5" t="s">
        <v>219</v>
      </c>
      <c r="G90" s="5"/>
      <c r="H90" s="5" t="s">
        <v>265</v>
      </c>
    </row>
    <row r="91" customFormat="false" ht="16.5" hidden="false" customHeight="true" outlineLevel="0" collapsed="false">
      <c r="A91" s="5" t="s">
        <v>43</v>
      </c>
      <c r="B91" s="5" t="s">
        <v>44</v>
      </c>
      <c r="C91" s="5" t="n">
        <v>1</v>
      </c>
      <c r="D91" s="5" t="s">
        <v>256</v>
      </c>
      <c r="E91" s="5" t="s">
        <v>332</v>
      </c>
      <c r="F91" s="5" t="s">
        <v>221</v>
      </c>
      <c r="G91" s="5" t="s">
        <v>266</v>
      </c>
      <c r="H91" s="5" t="s">
        <v>231</v>
      </c>
    </row>
    <row r="92" customFormat="false" ht="16.5" hidden="false" customHeight="true" outlineLevel="0" collapsed="false">
      <c r="A92" s="5" t="s">
        <v>43</v>
      </c>
      <c r="B92" s="5" t="s">
        <v>44</v>
      </c>
      <c r="C92" s="5" t="n">
        <v>1</v>
      </c>
      <c r="D92" s="5" t="s">
        <v>256</v>
      </c>
      <c r="E92" s="5" t="s">
        <v>332</v>
      </c>
      <c r="F92" s="5" t="s">
        <v>219</v>
      </c>
      <c r="G92" s="5"/>
      <c r="H92" s="5" t="s">
        <v>267</v>
      </c>
    </row>
    <row r="93" customFormat="false" ht="16.5" hidden="false" customHeight="true" outlineLevel="0" collapsed="false">
      <c r="A93" s="5" t="s">
        <v>43</v>
      </c>
      <c r="B93" s="5" t="s">
        <v>44</v>
      </c>
      <c r="C93" s="5" t="n">
        <v>1</v>
      </c>
      <c r="D93" s="5" t="s">
        <v>256</v>
      </c>
      <c r="E93" s="5" t="s">
        <v>332</v>
      </c>
      <c r="F93" s="5" t="s">
        <v>221</v>
      </c>
      <c r="G93" s="5" t="s">
        <v>225</v>
      </c>
      <c r="H93" s="5" t="s">
        <v>268</v>
      </c>
    </row>
    <row r="94" customFormat="false" ht="16.5" hidden="false" customHeight="true" outlineLevel="0" collapsed="false">
      <c r="A94" s="5" t="s">
        <v>43</v>
      </c>
      <c r="B94" s="5" t="s">
        <v>44</v>
      </c>
      <c r="C94" s="5" t="n">
        <v>1</v>
      </c>
      <c r="D94" s="5" t="s">
        <v>256</v>
      </c>
      <c r="E94" s="5" t="s">
        <v>332</v>
      </c>
      <c r="F94" s="5" t="s">
        <v>219</v>
      </c>
      <c r="G94" s="5" t="s">
        <v>236</v>
      </c>
      <c r="H94" s="5" t="s">
        <v>269</v>
      </c>
    </row>
    <row r="95" customFormat="false" ht="30" hidden="false" customHeight="true" outlineLevel="0" collapsed="false">
      <c r="A95" s="5" t="s">
        <v>43</v>
      </c>
      <c r="B95" s="5" t="s">
        <v>44</v>
      </c>
      <c r="C95" s="5" t="n">
        <v>1</v>
      </c>
      <c r="D95" s="5" t="s">
        <v>270</v>
      </c>
      <c r="E95" s="5" t="s">
        <v>330</v>
      </c>
      <c r="F95" s="5" t="s">
        <v>219</v>
      </c>
      <c r="G95" s="5" t="s">
        <v>271</v>
      </c>
      <c r="H95" s="5" t="s">
        <v>272</v>
      </c>
    </row>
    <row r="96" customFormat="false" ht="16.5" hidden="false" customHeight="true" outlineLevel="0" collapsed="false">
      <c r="A96" s="5" t="s">
        <v>43</v>
      </c>
      <c r="B96" s="5" t="s">
        <v>44</v>
      </c>
      <c r="C96" s="5" t="n">
        <v>1</v>
      </c>
      <c r="D96" s="5" t="s">
        <v>270</v>
      </c>
      <c r="E96" s="5" t="s">
        <v>331</v>
      </c>
      <c r="F96" s="5" t="s">
        <v>221</v>
      </c>
      <c r="G96" s="5" t="s">
        <v>273</v>
      </c>
      <c r="H96" s="5" t="s">
        <v>274</v>
      </c>
    </row>
    <row r="97" customFormat="false" ht="30" hidden="false" customHeight="true" outlineLevel="0" collapsed="false">
      <c r="A97" s="5" t="s">
        <v>43</v>
      </c>
      <c r="B97" s="5" t="s">
        <v>44</v>
      </c>
      <c r="C97" s="5" t="n">
        <v>1</v>
      </c>
      <c r="D97" s="5" t="s">
        <v>270</v>
      </c>
      <c r="E97" s="5" t="s">
        <v>332</v>
      </c>
      <c r="F97" s="5" t="s">
        <v>219</v>
      </c>
      <c r="G97" s="5" t="s">
        <v>275</v>
      </c>
      <c r="H97" s="5" t="s">
        <v>276</v>
      </c>
    </row>
    <row r="98" customFormat="false" ht="16.5" hidden="false" customHeight="true" outlineLevel="0" collapsed="false">
      <c r="A98" s="5" t="s">
        <v>43</v>
      </c>
      <c r="B98" s="5" t="s">
        <v>44</v>
      </c>
      <c r="C98" s="5" t="n">
        <v>1</v>
      </c>
      <c r="D98" s="5" t="s">
        <v>270</v>
      </c>
      <c r="E98" s="5" t="s">
        <v>333</v>
      </c>
      <c r="F98" s="5" t="s">
        <v>221</v>
      </c>
      <c r="G98" s="5" t="s">
        <v>277</v>
      </c>
      <c r="H98" s="5" t="s">
        <v>278</v>
      </c>
    </row>
    <row r="99" customFormat="false" ht="30" hidden="false" customHeight="true" outlineLevel="0" collapsed="false">
      <c r="A99" s="5" t="s">
        <v>43</v>
      </c>
      <c r="B99" s="5" t="s">
        <v>44</v>
      </c>
      <c r="C99" s="5" t="n">
        <v>1</v>
      </c>
      <c r="D99" s="5" t="s">
        <v>270</v>
      </c>
      <c r="E99" s="5" t="s">
        <v>334</v>
      </c>
      <c r="F99" s="5" t="s">
        <v>219</v>
      </c>
      <c r="G99" s="5" t="s">
        <v>275</v>
      </c>
      <c r="H99" s="5" t="s">
        <v>280</v>
      </c>
    </row>
    <row r="100" customFormat="false" ht="16.5" hidden="false" customHeight="true" outlineLevel="0" collapsed="false">
      <c r="A100" s="5" t="s">
        <v>43</v>
      </c>
      <c r="B100" s="5" t="s">
        <v>44</v>
      </c>
      <c r="C100" s="5" t="n">
        <v>1</v>
      </c>
      <c r="D100" s="5" t="s">
        <v>270</v>
      </c>
      <c r="E100" s="5" t="s">
        <v>335</v>
      </c>
      <c r="F100" s="5" t="s">
        <v>219</v>
      </c>
      <c r="G100" s="5" t="s">
        <v>282</v>
      </c>
      <c r="H100" s="5" t="s">
        <v>283</v>
      </c>
    </row>
    <row r="101" customFormat="false" ht="16.5" hidden="false" customHeight="true" outlineLevel="0" collapsed="false">
      <c r="A101" s="5" t="s">
        <v>43</v>
      </c>
      <c r="B101" s="5" t="s">
        <v>44</v>
      </c>
      <c r="C101" s="5" t="n">
        <v>1</v>
      </c>
      <c r="D101" s="5" t="s">
        <v>270</v>
      </c>
      <c r="E101" s="5" t="s">
        <v>336</v>
      </c>
      <c r="F101" s="5" t="s">
        <v>219</v>
      </c>
      <c r="G101" s="5" t="s">
        <v>285</v>
      </c>
      <c r="H101" s="5" t="s">
        <v>286</v>
      </c>
    </row>
    <row r="102" customFormat="false" ht="16.5" hidden="false" customHeight="true" outlineLevel="0" collapsed="false">
      <c r="A102" s="5" t="s">
        <v>43</v>
      </c>
      <c r="B102" s="5" t="s">
        <v>44</v>
      </c>
      <c r="C102" s="5" t="n">
        <v>1</v>
      </c>
      <c r="D102" s="5" t="s">
        <v>270</v>
      </c>
      <c r="E102" s="5" t="s">
        <v>337</v>
      </c>
      <c r="F102" s="5" t="s">
        <v>219</v>
      </c>
      <c r="G102" s="5" t="s">
        <v>288</v>
      </c>
      <c r="H102" s="5" t="s">
        <v>289</v>
      </c>
    </row>
    <row r="103" customFormat="false" ht="30" hidden="false" customHeight="true" outlineLevel="0" collapsed="false">
      <c r="A103" s="5" t="s">
        <v>46</v>
      </c>
      <c r="B103" s="5" t="s">
        <v>47</v>
      </c>
      <c r="C103" s="5" t="n">
        <v>1</v>
      </c>
      <c r="D103" s="5" t="s">
        <v>217</v>
      </c>
      <c r="E103" s="5" t="s">
        <v>338</v>
      </c>
      <c r="F103" s="5" t="s">
        <v>219</v>
      </c>
      <c r="G103" s="5"/>
      <c r="H103" s="5" t="s">
        <v>220</v>
      </c>
    </row>
    <row r="104" customFormat="false" ht="30" hidden="false" customHeight="true" outlineLevel="0" collapsed="false">
      <c r="A104" s="5" t="s">
        <v>46</v>
      </c>
      <c r="B104" s="5" t="s">
        <v>47</v>
      </c>
      <c r="C104" s="5" t="n">
        <v>1</v>
      </c>
      <c r="D104" s="5" t="s">
        <v>217</v>
      </c>
      <c r="E104" s="5" t="s">
        <v>338</v>
      </c>
      <c r="F104" s="5" t="s">
        <v>221</v>
      </c>
      <c r="G104" s="5" t="s">
        <v>222</v>
      </c>
      <c r="H104" s="5" t="s">
        <v>339</v>
      </c>
    </row>
    <row r="105" customFormat="false" ht="16.5" hidden="false" customHeight="true" outlineLevel="0" collapsed="false">
      <c r="A105" s="5" t="s">
        <v>46</v>
      </c>
      <c r="B105" s="5" t="s">
        <v>47</v>
      </c>
      <c r="C105" s="5" t="n">
        <v>1</v>
      </c>
      <c r="D105" s="5" t="s">
        <v>217</v>
      </c>
      <c r="E105" s="5" t="s">
        <v>338</v>
      </c>
      <c r="F105" s="5" t="s">
        <v>219</v>
      </c>
      <c r="G105" s="5"/>
      <c r="H105" s="5" t="s">
        <v>340</v>
      </c>
    </row>
    <row r="106" customFormat="false" ht="16.5" hidden="false" customHeight="true" outlineLevel="0" collapsed="false">
      <c r="A106" s="5" t="s">
        <v>46</v>
      </c>
      <c r="B106" s="5" t="s">
        <v>47</v>
      </c>
      <c r="C106" s="5" t="n">
        <v>1</v>
      </c>
      <c r="D106" s="5" t="s">
        <v>217</v>
      </c>
      <c r="E106" s="5" t="s">
        <v>341</v>
      </c>
      <c r="F106" s="5" t="s">
        <v>221</v>
      </c>
      <c r="G106" s="5" t="s">
        <v>225</v>
      </c>
      <c r="H106" s="5" t="s">
        <v>342</v>
      </c>
    </row>
    <row r="107" customFormat="false" ht="16.5" hidden="false" customHeight="true" outlineLevel="0" collapsed="false">
      <c r="A107" s="5" t="s">
        <v>46</v>
      </c>
      <c r="B107" s="5" t="s">
        <v>47</v>
      </c>
      <c r="C107" s="5" t="n">
        <v>1</v>
      </c>
      <c r="D107" s="5" t="s">
        <v>217</v>
      </c>
      <c r="E107" s="5" t="s">
        <v>341</v>
      </c>
      <c r="F107" s="5" t="s">
        <v>219</v>
      </c>
      <c r="G107" s="5"/>
      <c r="H107" s="5" t="s">
        <v>343</v>
      </c>
    </row>
    <row r="108" customFormat="false" ht="30" hidden="false" customHeight="true" outlineLevel="0" collapsed="false">
      <c r="A108" s="5" t="s">
        <v>46</v>
      </c>
      <c r="B108" s="5" t="s">
        <v>47</v>
      </c>
      <c r="C108" s="5" t="n">
        <v>1</v>
      </c>
      <c r="D108" s="5" t="s">
        <v>217</v>
      </c>
      <c r="E108" s="5" t="s">
        <v>341</v>
      </c>
      <c r="F108" s="5" t="s">
        <v>221</v>
      </c>
      <c r="G108" s="5" t="s">
        <v>225</v>
      </c>
      <c r="H108" s="5" t="s">
        <v>344</v>
      </c>
    </row>
    <row r="109" customFormat="false" ht="16.5" hidden="false" customHeight="true" outlineLevel="0" collapsed="false">
      <c r="A109" s="5" t="s">
        <v>46</v>
      </c>
      <c r="B109" s="5" t="s">
        <v>47</v>
      </c>
      <c r="C109" s="5" t="n">
        <v>1</v>
      </c>
      <c r="D109" s="5" t="s">
        <v>217</v>
      </c>
      <c r="E109" s="5" t="s">
        <v>341</v>
      </c>
      <c r="F109" s="5" t="s">
        <v>219</v>
      </c>
      <c r="G109" s="5"/>
      <c r="H109" s="5" t="s">
        <v>345</v>
      </c>
    </row>
    <row r="110" customFormat="false" ht="42.75" hidden="false" customHeight="true" outlineLevel="0" collapsed="false">
      <c r="A110" s="5" t="s">
        <v>46</v>
      </c>
      <c r="B110" s="5" t="s">
        <v>47</v>
      </c>
      <c r="C110" s="5" t="n">
        <v>1</v>
      </c>
      <c r="D110" s="5" t="s">
        <v>238</v>
      </c>
      <c r="E110" s="5" t="s">
        <v>341</v>
      </c>
      <c r="F110" s="5" t="s">
        <v>219</v>
      </c>
      <c r="G110" s="5" t="s">
        <v>239</v>
      </c>
      <c r="H110" s="5" t="s">
        <v>240</v>
      </c>
    </row>
    <row r="111" customFormat="false" ht="30" hidden="false" customHeight="true" outlineLevel="0" collapsed="false">
      <c r="A111" s="5" t="s">
        <v>46</v>
      </c>
      <c r="B111" s="5" t="s">
        <v>47</v>
      </c>
      <c r="C111" s="5" t="n">
        <v>1</v>
      </c>
      <c r="D111" s="5" t="s">
        <v>238</v>
      </c>
      <c r="E111" s="5" t="s">
        <v>346</v>
      </c>
      <c r="F111" s="5" t="s">
        <v>221</v>
      </c>
      <c r="G111" s="5" t="s">
        <v>246</v>
      </c>
      <c r="H111" s="5" t="s">
        <v>347</v>
      </c>
    </row>
    <row r="112" customFormat="false" ht="16.5" hidden="false" customHeight="true" outlineLevel="0" collapsed="false">
      <c r="A112" s="5" t="s">
        <v>46</v>
      </c>
      <c r="B112" s="5" t="s">
        <v>47</v>
      </c>
      <c r="C112" s="5" t="n">
        <v>1</v>
      </c>
      <c r="D112" s="5" t="s">
        <v>238</v>
      </c>
      <c r="E112" s="5" t="s">
        <v>348</v>
      </c>
      <c r="F112" s="5" t="s">
        <v>219</v>
      </c>
      <c r="G112" s="5" t="s">
        <v>244</v>
      </c>
      <c r="H112" s="5" t="s">
        <v>304</v>
      </c>
    </row>
    <row r="113" customFormat="false" ht="30" hidden="false" customHeight="true" outlineLevel="0" collapsed="false">
      <c r="A113" s="5" t="s">
        <v>46</v>
      </c>
      <c r="B113" s="5" t="s">
        <v>47</v>
      </c>
      <c r="C113" s="5" t="n">
        <v>1</v>
      </c>
      <c r="D113" s="5" t="s">
        <v>238</v>
      </c>
      <c r="E113" s="5" t="s">
        <v>348</v>
      </c>
      <c r="F113" s="5" t="s">
        <v>221</v>
      </c>
      <c r="G113" s="5" t="s">
        <v>349</v>
      </c>
      <c r="H113" s="5" t="s">
        <v>350</v>
      </c>
    </row>
    <row r="114" customFormat="false" ht="16.5" hidden="false" customHeight="true" outlineLevel="0" collapsed="false">
      <c r="A114" s="5" t="s">
        <v>46</v>
      </c>
      <c r="B114" s="5" t="s">
        <v>47</v>
      </c>
      <c r="C114" s="5" t="n">
        <v>1</v>
      </c>
      <c r="D114" s="5" t="s">
        <v>238</v>
      </c>
      <c r="E114" s="5" t="s">
        <v>351</v>
      </c>
      <c r="F114" s="5" t="s">
        <v>219</v>
      </c>
      <c r="G114" s="5" t="s">
        <v>244</v>
      </c>
      <c r="H114" s="5" t="s">
        <v>352</v>
      </c>
    </row>
    <row r="115" customFormat="false" ht="16.5" hidden="false" customHeight="true" outlineLevel="0" collapsed="false">
      <c r="A115" s="5" t="s">
        <v>46</v>
      </c>
      <c r="B115" s="5" t="s">
        <v>47</v>
      </c>
      <c r="C115" s="5" t="n">
        <v>1</v>
      </c>
      <c r="D115" s="5" t="s">
        <v>238</v>
      </c>
      <c r="E115" s="5" t="s">
        <v>353</v>
      </c>
      <c r="F115" s="5" t="s">
        <v>219</v>
      </c>
      <c r="G115" s="5" t="s">
        <v>282</v>
      </c>
      <c r="H115" s="5" t="s">
        <v>354</v>
      </c>
    </row>
    <row r="116" customFormat="false" ht="16.5" hidden="false" customHeight="true" outlineLevel="0" collapsed="false">
      <c r="A116" s="5" t="s">
        <v>46</v>
      </c>
      <c r="B116" s="5" t="s">
        <v>47</v>
      </c>
      <c r="C116" s="5" t="n">
        <v>1</v>
      </c>
      <c r="D116" s="5" t="s">
        <v>238</v>
      </c>
      <c r="E116" s="5" t="s">
        <v>355</v>
      </c>
      <c r="F116" s="5" t="s">
        <v>219</v>
      </c>
      <c r="G116" s="5" t="s">
        <v>356</v>
      </c>
      <c r="H116" s="5" t="s">
        <v>357</v>
      </c>
    </row>
    <row r="117" customFormat="false" ht="16.5" hidden="false" customHeight="true" outlineLevel="0" collapsed="false">
      <c r="A117" s="5" t="s">
        <v>46</v>
      </c>
      <c r="B117" s="5" t="s">
        <v>47</v>
      </c>
      <c r="C117" s="5" t="n">
        <v>1</v>
      </c>
      <c r="D117" s="5" t="s">
        <v>238</v>
      </c>
      <c r="E117" s="5" t="s">
        <v>358</v>
      </c>
      <c r="F117" s="5" t="s">
        <v>219</v>
      </c>
      <c r="G117" s="5" t="s">
        <v>254</v>
      </c>
      <c r="H117" s="5" t="s">
        <v>255</v>
      </c>
    </row>
    <row r="118" customFormat="false" ht="16.5" hidden="false" customHeight="true" outlineLevel="0" collapsed="false">
      <c r="A118" s="5" t="s">
        <v>46</v>
      </c>
      <c r="B118" s="5" t="s">
        <v>47</v>
      </c>
      <c r="C118" s="5" t="n">
        <v>1</v>
      </c>
      <c r="D118" s="5" t="s">
        <v>256</v>
      </c>
      <c r="E118" s="5" t="s">
        <v>341</v>
      </c>
      <c r="F118" s="5" t="s">
        <v>219</v>
      </c>
      <c r="G118" s="5"/>
      <c r="H118" s="5" t="s">
        <v>257</v>
      </c>
    </row>
    <row r="119" customFormat="false" ht="16.5" hidden="false" customHeight="true" outlineLevel="0" collapsed="false">
      <c r="A119" s="5" t="s">
        <v>46</v>
      </c>
      <c r="B119" s="5" t="s">
        <v>47</v>
      </c>
      <c r="C119" s="5" t="n">
        <v>1</v>
      </c>
      <c r="D119" s="5" t="s">
        <v>256</v>
      </c>
      <c r="E119" s="5" t="s">
        <v>346</v>
      </c>
      <c r="F119" s="5" t="s">
        <v>221</v>
      </c>
      <c r="G119" s="5" t="s">
        <v>359</v>
      </c>
      <c r="H119" s="5" t="s">
        <v>360</v>
      </c>
    </row>
    <row r="120" customFormat="false" ht="16.5" hidden="false" customHeight="true" outlineLevel="0" collapsed="false">
      <c r="A120" s="5" t="s">
        <v>46</v>
      </c>
      <c r="B120" s="5" t="s">
        <v>47</v>
      </c>
      <c r="C120" s="5" t="n">
        <v>1</v>
      </c>
      <c r="D120" s="5" t="s">
        <v>256</v>
      </c>
      <c r="E120" s="5" t="s">
        <v>346</v>
      </c>
      <c r="F120" s="5" t="s">
        <v>219</v>
      </c>
      <c r="G120" s="5"/>
      <c r="H120" s="5" t="s">
        <v>260</v>
      </c>
    </row>
    <row r="121" customFormat="false" ht="16.5" hidden="false" customHeight="true" outlineLevel="0" collapsed="false">
      <c r="A121" s="5" t="s">
        <v>46</v>
      </c>
      <c r="B121" s="5" t="s">
        <v>47</v>
      </c>
      <c r="C121" s="5" t="n">
        <v>1</v>
      </c>
      <c r="D121" s="5" t="s">
        <v>256</v>
      </c>
      <c r="E121" s="5" t="s">
        <v>346</v>
      </c>
      <c r="F121" s="5" t="s">
        <v>221</v>
      </c>
      <c r="G121" s="5" t="s">
        <v>225</v>
      </c>
      <c r="H121" s="5" t="s">
        <v>361</v>
      </c>
    </row>
    <row r="122" customFormat="false" ht="16.5" hidden="false" customHeight="true" outlineLevel="0" collapsed="false">
      <c r="A122" s="5" t="s">
        <v>46</v>
      </c>
      <c r="B122" s="5" t="s">
        <v>47</v>
      </c>
      <c r="C122" s="5" t="n">
        <v>1</v>
      </c>
      <c r="D122" s="5" t="s">
        <v>256</v>
      </c>
      <c r="E122" s="5" t="s">
        <v>348</v>
      </c>
      <c r="F122" s="5" t="s">
        <v>219</v>
      </c>
      <c r="G122" s="5"/>
      <c r="H122" s="5" t="s">
        <v>314</v>
      </c>
    </row>
    <row r="123" customFormat="false" ht="16.5" hidden="false" customHeight="true" outlineLevel="0" collapsed="false">
      <c r="A123" s="5" t="s">
        <v>46</v>
      </c>
      <c r="B123" s="5" t="s">
        <v>47</v>
      </c>
      <c r="C123" s="5" t="n">
        <v>1</v>
      </c>
      <c r="D123" s="5" t="s">
        <v>256</v>
      </c>
      <c r="E123" s="5" t="s">
        <v>348</v>
      </c>
      <c r="F123" s="5" t="s">
        <v>221</v>
      </c>
      <c r="G123" s="5" t="s">
        <v>225</v>
      </c>
      <c r="H123" s="5" t="s">
        <v>362</v>
      </c>
    </row>
    <row r="124" customFormat="false" ht="30" hidden="false" customHeight="true" outlineLevel="0" collapsed="false">
      <c r="A124" s="5" t="s">
        <v>46</v>
      </c>
      <c r="B124" s="5" t="s">
        <v>47</v>
      </c>
      <c r="C124" s="5" t="n">
        <v>1</v>
      </c>
      <c r="D124" s="5" t="s">
        <v>256</v>
      </c>
      <c r="E124" s="5" t="s">
        <v>348</v>
      </c>
      <c r="F124" s="5" t="s">
        <v>219</v>
      </c>
      <c r="G124" s="5"/>
      <c r="H124" s="5" t="s">
        <v>265</v>
      </c>
    </row>
    <row r="125" customFormat="false" ht="30" hidden="false" customHeight="true" outlineLevel="0" collapsed="false">
      <c r="A125" s="5" t="s">
        <v>46</v>
      </c>
      <c r="B125" s="5" t="s">
        <v>47</v>
      </c>
      <c r="C125" s="5" t="n">
        <v>1</v>
      </c>
      <c r="D125" s="5" t="s">
        <v>256</v>
      </c>
      <c r="E125" s="5" t="s">
        <v>351</v>
      </c>
      <c r="F125" s="5" t="s">
        <v>221</v>
      </c>
      <c r="G125" s="5" t="s">
        <v>234</v>
      </c>
      <c r="H125" s="5" t="s">
        <v>363</v>
      </c>
    </row>
    <row r="126" customFormat="false" ht="16.5" hidden="false" customHeight="true" outlineLevel="0" collapsed="false">
      <c r="A126" s="5" t="s">
        <v>46</v>
      </c>
      <c r="B126" s="5" t="s">
        <v>47</v>
      </c>
      <c r="C126" s="5" t="n">
        <v>1</v>
      </c>
      <c r="D126" s="5" t="s">
        <v>256</v>
      </c>
      <c r="E126" s="5" t="s">
        <v>351</v>
      </c>
      <c r="F126" s="5" t="s">
        <v>219</v>
      </c>
      <c r="G126" s="5"/>
      <c r="H126" s="5" t="s">
        <v>364</v>
      </c>
    </row>
    <row r="127" customFormat="false" ht="30" hidden="false" customHeight="true" outlineLevel="0" collapsed="false">
      <c r="A127" s="5" t="s">
        <v>46</v>
      </c>
      <c r="B127" s="5" t="s">
        <v>47</v>
      </c>
      <c r="C127" s="5" t="n">
        <v>1</v>
      </c>
      <c r="D127" s="5" t="s">
        <v>270</v>
      </c>
      <c r="E127" s="5" t="s">
        <v>348</v>
      </c>
      <c r="F127" s="5" t="s">
        <v>219</v>
      </c>
      <c r="G127" s="5" t="s">
        <v>271</v>
      </c>
      <c r="H127" s="5" t="s">
        <v>272</v>
      </c>
    </row>
    <row r="128" customFormat="false" ht="16.5" hidden="false" customHeight="true" outlineLevel="0" collapsed="false">
      <c r="A128" s="5" t="s">
        <v>46</v>
      </c>
      <c r="B128" s="5" t="s">
        <v>47</v>
      </c>
      <c r="C128" s="5" t="n">
        <v>1</v>
      </c>
      <c r="D128" s="5" t="s">
        <v>270</v>
      </c>
      <c r="E128" s="5" t="s">
        <v>351</v>
      </c>
      <c r="F128" s="5" t="s">
        <v>221</v>
      </c>
      <c r="G128" s="5" t="s">
        <v>365</v>
      </c>
      <c r="H128" s="5" t="s">
        <v>366</v>
      </c>
    </row>
    <row r="129" customFormat="false" ht="16.5" hidden="false" customHeight="true" outlineLevel="0" collapsed="false">
      <c r="A129" s="5" t="s">
        <v>46</v>
      </c>
      <c r="B129" s="5" t="s">
        <v>47</v>
      </c>
      <c r="C129" s="5" t="n">
        <v>1</v>
      </c>
      <c r="D129" s="5" t="s">
        <v>270</v>
      </c>
      <c r="E129" s="5" t="s">
        <v>367</v>
      </c>
      <c r="F129" s="5" t="s">
        <v>219</v>
      </c>
      <c r="G129" s="5" t="s">
        <v>275</v>
      </c>
      <c r="H129" s="5" t="s">
        <v>368</v>
      </c>
    </row>
    <row r="130" customFormat="false" ht="30" hidden="false" customHeight="true" outlineLevel="0" collapsed="false">
      <c r="A130" s="5" t="s">
        <v>46</v>
      </c>
      <c r="B130" s="5" t="s">
        <v>47</v>
      </c>
      <c r="C130" s="5" t="n">
        <v>1</v>
      </c>
      <c r="D130" s="5" t="s">
        <v>270</v>
      </c>
      <c r="E130" s="5" t="s">
        <v>369</v>
      </c>
      <c r="F130" s="5" t="s">
        <v>221</v>
      </c>
      <c r="G130" s="5" t="s">
        <v>370</v>
      </c>
      <c r="H130" s="5" t="s">
        <v>371</v>
      </c>
    </row>
    <row r="131" customFormat="false" ht="16.5" hidden="false" customHeight="true" outlineLevel="0" collapsed="false">
      <c r="A131" s="5" t="s">
        <v>46</v>
      </c>
      <c r="B131" s="5" t="s">
        <v>47</v>
      </c>
      <c r="C131" s="5" t="n">
        <v>1</v>
      </c>
      <c r="D131" s="5" t="s">
        <v>270</v>
      </c>
      <c r="E131" s="5" t="s">
        <v>353</v>
      </c>
      <c r="F131" s="5" t="s">
        <v>219</v>
      </c>
      <c r="G131" s="5" t="s">
        <v>275</v>
      </c>
      <c r="H131" s="5" t="s">
        <v>372</v>
      </c>
    </row>
    <row r="132" customFormat="false" ht="30" hidden="false" customHeight="true" outlineLevel="0" collapsed="false">
      <c r="A132" s="5" t="s">
        <v>46</v>
      </c>
      <c r="B132" s="5" t="s">
        <v>47</v>
      </c>
      <c r="C132" s="5" t="n">
        <v>1</v>
      </c>
      <c r="D132" s="5" t="s">
        <v>270</v>
      </c>
      <c r="E132" s="5" t="s">
        <v>353</v>
      </c>
      <c r="F132" s="5" t="s">
        <v>221</v>
      </c>
      <c r="G132" s="5" t="s">
        <v>370</v>
      </c>
      <c r="H132" s="5" t="s">
        <v>373</v>
      </c>
    </row>
    <row r="133" customFormat="false" ht="16.5" hidden="false" customHeight="true" outlineLevel="0" collapsed="false">
      <c r="A133" s="5" t="s">
        <v>46</v>
      </c>
      <c r="B133" s="5" t="s">
        <v>47</v>
      </c>
      <c r="C133" s="5" t="n">
        <v>1</v>
      </c>
      <c r="D133" s="5" t="s">
        <v>270</v>
      </c>
      <c r="E133" s="5" t="s">
        <v>374</v>
      </c>
      <c r="F133" s="5" t="s">
        <v>219</v>
      </c>
      <c r="G133" s="5" t="s">
        <v>288</v>
      </c>
      <c r="H133" s="5" t="s">
        <v>289</v>
      </c>
    </row>
    <row r="134" customFormat="false" ht="30" hidden="false" customHeight="true" outlineLevel="0" collapsed="false">
      <c r="A134" s="5" t="s">
        <v>48</v>
      </c>
      <c r="B134" s="5" t="s">
        <v>49</v>
      </c>
      <c r="C134" s="5" t="n">
        <v>1</v>
      </c>
      <c r="D134" s="5" t="s">
        <v>217</v>
      </c>
      <c r="E134" s="5" t="s">
        <v>375</v>
      </c>
      <c r="F134" s="5" t="s">
        <v>219</v>
      </c>
      <c r="G134" s="5"/>
      <c r="H134" s="5" t="s">
        <v>220</v>
      </c>
    </row>
    <row r="135" customFormat="false" ht="16.5" hidden="false" customHeight="true" outlineLevel="0" collapsed="false">
      <c r="A135" s="5" t="s">
        <v>48</v>
      </c>
      <c r="B135" s="5" t="s">
        <v>49</v>
      </c>
      <c r="C135" s="5" t="n">
        <v>1</v>
      </c>
      <c r="D135" s="5" t="s">
        <v>217</v>
      </c>
      <c r="E135" s="5" t="s">
        <v>376</v>
      </c>
      <c r="F135" s="5" t="s">
        <v>219</v>
      </c>
      <c r="G135" s="5" t="s">
        <v>377</v>
      </c>
      <c r="H135" s="5" t="s">
        <v>378</v>
      </c>
    </row>
    <row r="136" customFormat="false" ht="16.5" hidden="false" customHeight="true" outlineLevel="0" collapsed="false">
      <c r="A136" s="5" t="s">
        <v>48</v>
      </c>
      <c r="B136" s="5" t="s">
        <v>49</v>
      </c>
      <c r="C136" s="5" t="n">
        <v>1</v>
      </c>
      <c r="D136" s="5" t="s">
        <v>217</v>
      </c>
      <c r="E136" s="5" t="s">
        <v>379</v>
      </c>
      <c r="F136" s="5" t="s">
        <v>219</v>
      </c>
      <c r="G136" s="5" t="s">
        <v>377</v>
      </c>
      <c r="H136" s="5" t="s">
        <v>380</v>
      </c>
    </row>
    <row r="137" customFormat="false" ht="16.5" hidden="false" customHeight="true" outlineLevel="0" collapsed="false">
      <c r="A137" s="5" t="s">
        <v>48</v>
      </c>
      <c r="B137" s="5" t="s">
        <v>49</v>
      </c>
      <c r="C137" s="5" t="n">
        <v>1</v>
      </c>
      <c r="D137" s="5" t="s">
        <v>217</v>
      </c>
      <c r="E137" s="5" t="s">
        <v>381</v>
      </c>
      <c r="F137" s="5" t="s">
        <v>219</v>
      </c>
      <c r="G137" s="5" t="s">
        <v>236</v>
      </c>
      <c r="H137" s="5" t="s">
        <v>237</v>
      </c>
    </row>
    <row r="138" customFormat="false" ht="42.75" hidden="false" customHeight="true" outlineLevel="0" collapsed="false">
      <c r="A138" s="5" t="s">
        <v>48</v>
      </c>
      <c r="B138" s="5" t="s">
        <v>49</v>
      </c>
      <c r="C138" s="5" t="n">
        <v>1</v>
      </c>
      <c r="D138" s="5" t="s">
        <v>238</v>
      </c>
      <c r="E138" s="5" t="s">
        <v>382</v>
      </c>
      <c r="F138" s="5" t="s">
        <v>219</v>
      </c>
      <c r="G138" s="5" t="s">
        <v>239</v>
      </c>
      <c r="H138" s="5" t="s">
        <v>240</v>
      </c>
    </row>
    <row r="139" customFormat="false" ht="42.75" hidden="false" customHeight="true" outlineLevel="0" collapsed="false">
      <c r="A139" s="5" t="s">
        <v>48</v>
      </c>
      <c r="B139" s="5" t="s">
        <v>49</v>
      </c>
      <c r="C139" s="5" t="n">
        <v>1</v>
      </c>
      <c r="D139" s="5" t="s">
        <v>238</v>
      </c>
      <c r="E139" s="5" t="s">
        <v>383</v>
      </c>
      <c r="F139" s="5" t="s">
        <v>221</v>
      </c>
      <c r="G139" s="5" t="s">
        <v>246</v>
      </c>
      <c r="H139" s="5" t="s">
        <v>384</v>
      </c>
    </row>
    <row r="140" customFormat="false" ht="16.5" hidden="false" customHeight="true" outlineLevel="0" collapsed="false">
      <c r="A140" s="5" t="s">
        <v>48</v>
      </c>
      <c r="B140" s="5" t="s">
        <v>49</v>
      </c>
      <c r="C140" s="5" t="n">
        <v>1</v>
      </c>
      <c r="D140" s="5" t="s">
        <v>238</v>
      </c>
      <c r="E140" s="5" t="s">
        <v>385</v>
      </c>
      <c r="F140" s="5" t="s">
        <v>219</v>
      </c>
      <c r="G140" s="5" t="s">
        <v>244</v>
      </c>
      <c r="H140" s="5" t="s">
        <v>304</v>
      </c>
    </row>
    <row r="141" customFormat="false" ht="55.5" hidden="false" customHeight="true" outlineLevel="0" collapsed="false">
      <c r="A141" s="5" t="s">
        <v>48</v>
      </c>
      <c r="B141" s="5" t="s">
        <v>49</v>
      </c>
      <c r="C141" s="5" t="n">
        <v>1</v>
      </c>
      <c r="D141" s="5" t="s">
        <v>238</v>
      </c>
      <c r="E141" s="5" t="s">
        <v>385</v>
      </c>
      <c r="F141" s="5" t="s">
        <v>221</v>
      </c>
      <c r="G141" s="5" t="s">
        <v>386</v>
      </c>
      <c r="H141" s="5" t="s">
        <v>387</v>
      </c>
    </row>
    <row r="142" customFormat="false" ht="16.5" hidden="false" customHeight="true" outlineLevel="0" collapsed="false">
      <c r="A142" s="5" t="s">
        <v>48</v>
      </c>
      <c r="B142" s="5" t="s">
        <v>49</v>
      </c>
      <c r="C142" s="5" t="n">
        <v>1</v>
      </c>
      <c r="D142" s="5" t="s">
        <v>238</v>
      </c>
      <c r="E142" s="5" t="s">
        <v>388</v>
      </c>
      <c r="F142" s="5" t="s">
        <v>219</v>
      </c>
      <c r="G142" s="5" t="s">
        <v>244</v>
      </c>
      <c r="H142" s="5" t="s">
        <v>389</v>
      </c>
    </row>
    <row r="143" customFormat="false" ht="16.5" hidden="false" customHeight="true" outlineLevel="0" collapsed="false">
      <c r="A143" s="5" t="s">
        <v>48</v>
      </c>
      <c r="B143" s="5" t="s">
        <v>49</v>
      </c>
      <c r="C143" s="5" t="n">
        <v>1</v>
      </c>
      <c r="D143" s="5" t="s">
        <v>256</v>
      </c>
      <c r="E143" s="5" t="s">
        <v>381</v>
      </c>
      <c r="F143" s="5" t="s">
        <v>219</v>
      </c>
      <c r="G143" s="5"/>
      <c r="H143" s="5" t="s">
        <v>257</v>
      </c>
    </row>
    <row r="144" customFormat="false" ht="30" hidden="false" customHeight="true" outlineLevel="0" collapsed="false">
      <c r="A144" s="5" t="s">
        <v>48</v>
      </c>
      <c r="B144" s="5" t="s">
        <v>49</v>
      </c>
      <c r="C144" s="5" t="n">
        <v>1</v>
      </c>
      <c r="D144" s="5" t="s">
        <v>256</v>
      </c>
      <c r="E144" s="5" t="s">
        <v>382</v>
      </c>
      <c r="F144" s="5" t="s">
        <v>221</v>
      </c>
      <c r="G144" s="5" t="s">
        <v>225</v>
      </c>
      <c r="H144" s="5" t="s">
        <v>390</v>
      </c>
    </row>
    <row r="145" customFormat="false" ht="16.5" hidden="false" customHeight="true" outlineLevel="0" collapsed="false">
      <c r="A145" s="5" t="s">
        <v>48</v>
      </c>
      <c r="B145" s="5" t="s">
        <v>49</v>
      </c>
      <c r="C145" s="5" t="n">
        <v>1</v>
      </c>
      <c r="D145" s="5" t="s">
        <v>256</v>
      </c>
      <c r="E145" s="5" t="s">
        <v>382</v>
      </c>
      <c r="F145" s="5" t="s">
        <v>219</v>
      </c>
      <c r="G145" s="5"/>
      <c r="H145" s="5" t="s">
        <v>260</v>
      </c>
    </row>
    <row r="146" customFormat="false" ht="30" hidden="false" customHeight="true" outlineLevel="0" collapsed="false">
      <c r="A146" s="5" t="s">
        <v>48</v>
      </c>
      <c r="B146" s="5" t="s">
        <v>49</v>
      </c>
      <c r="C146" s="5" t="n">
        <v>1</v>
      </c>
      <c r="D146" s="5" t="s">
        <v>256</v>
      </c>
      <c r="E146" s="5" t="s">
        <v>382</v>
      </c>
      <c r="F146" s="5" t="s">
        <v>221</v>
      </c>
      <c r="G146" s="5" t="s">
        <v>225</v>
      </c>
      <c r="H146" s="5" t="s">
        <v>313</v>
      </c>
    </row>
    <row r="147" customFormat="false" ht="16.5" hidden="false" customHeight="true" outlineLevel="0" collapsed="false">
      <c r="A147" s="5" t="s">
        <v>48</v>
      </c>
      <c r="B147" s="5" t="s">
        <v>49</v>
      </c>
      <c r="C147" s="5" t="n">
        <v>1</v>
      </c>
      <c r="D147" s="5" t="s">
        <v>256</v>
      </c>
      <c r="E147" s="5" t="s">
        <v>382</v>
      </c>
      <c r="F147" s="5" t="s">
        <v>219</v>
      </c>
      <c r="G147" s="5"/>
      <c r="H147" s="5" t="s">
        <v>314</v>
      </c>
    </row>
    <row r="148" customFormat="false" ht="16.5" hidden="false" customHeight="true" outlineLevel="0" collapsed="false">
      <c r="A148" s="5" t="s">
        <v>48</v>
      </c>
      <c r="B148" s="5" t="s">
        <v>49</v>
      </c>
      <c r="C148" s="5" t="n">
        <v>1</v>
      </c>
      <c r="D148" s="5" t="s">
        <v>256</v>
      </c>
      <c r="E148" s="5" t="s">
        <v>383</v>
      </c>
      <c r="F148" s="5" t="s">
        <v>221</v>
      </c>
      <c r="G148" s="5" t="s">
        <v>261</v>
      </c>
      <c r="H148" s="5" t="s">
        <v>391</v>
      </c>
    </row>
    <row r="149" customFormat="false" ht="30" hidden="false" customHeight="true" outlineLevel="0" collapsed="false">
      <c r="A149" s="5" t="s">
        <v>48</v>
      </c>
      <c r="B149" s="5" t="s">
        <v>49</v>
      </c>
      <c r="C149" s="5" t="n">
        <v>1</v>
      </c>
      <c r="D149" s="5" t="s">
        <v>256</v>
      </c>
      <c r="E149" s="5" t="s">
        <v>383</v>
      </c>
      <c r="F149" s="5" t="s">
        <v>219</v>
      </c>
      <c r="G149" s="5"/>
      <c r="H149" s="5" t="s">
        <v>265</v>
      </c>
    </row>
    <row r="150" customFormat="false" ht="42.75" hidden="false" customHeight="true" outlineLevel="0" collapsed="false">
      <c r="A150" s="5" t="s">
        <v>48</v>
      </c>
      <c r="B150" s="5" t="s">
        <v>49</v>
      </c>
      <c r="C150" s="5" t="n">
        <v>1</v>
      </c>
      <c r="D150" s="5" t="s">
        <v>256</v>
      </c>
      <c r="E150" s="5" t="s">
        <v>385</v>
      </c>
      <c r="F150" s="5" t="s">
        <v>221</v>
      </c>
      <c r="G150" s="5" t="s">
        <v>234</v>
      </c>
      <c r="H150" s="5" t="s">
        <v>392</v>
      </c>
    </row>
    <row r="151" customFormat="false" ht="16.5" hidden="false" customHeight="true" outlineLevel="0" collapsed="false">
      <c r="A151" s="5" t="s">
        <v>48</v>
      </c>
      <c r="B151" s="5" t="s">
        <v>49</v>
      </c>
      <c r="C151" s="5" t="n">
        <v>1</v>
      </c>
      <c r="D151" s="5" t="s">
        <v>256</v>
      </c>
      <c r="E151" s="5" t="s">
        <v>385</v>
      </c>
      <c r="F151" s="5" t="s">
        <v>219</v>
      </c>
      <c r="G151" s="5"/>
      <c r="H151" s="5" t="s">
        <v>318</v>
      </c>
    </row>
    <row r="152" customFormat="false" ht="30" hidden="false" customHeight="true" outlineLevel="0" collapsed="false">
      <c r="A152" s="5" t="s">
        <v>48</v>
      </c>
      <c r="B152" s="5" t="s">
        <v>49</v>
      </c>
      <c r="C152" s="5" t="n">
        <v>1</v>
      </c>
      <c r="D152" s="5" t="s">
        <v>270</v>
      </c>
      <c r="E152" s="5" t="s">
        <v>383</v>
      </c>
      <c r="F152" s="5" t="s">
        <v>219</v>
      </c>
      <c r="G152" s="5" t="s">
        <v>271</v>
      </c>
      <c r="H152" s="5" t="s">
        <v>272</v>
      </c>
    </row>
    <row r="153" customFormat="false" ht="42.75" hidden="false" customHeight="true" outlineLevel="0" collapsed="false">
      <c r="A153" s="5" t="s">
        <v>48</v>
      </c>
      <c r="B153" s="5" t="s">
        <v>49</v>
      </c>
      <c r="C153" s="5" t="n">
        <v>1</v>
      </c>
      <c r="D153" s="5" t="s">
        <v>270</v>
      </c>
      <c r="E153" s="5" t="s">
        <v>385</v>
      </c>
      <c r="F153" s="5" t="s">
        <v>221</v>
      </c>
      <c r="G153" s="5" t="s">
        <v>273</v>
      </c>
      <c r="H153" s="5" t="s">
        <v>393</v>
      </c>
    </row>
    <row r="154" customFormat="false" ht="30" hidden="false" customHeight="true" outlineLevel="0" collapsed="false">
      <c r="A154" s="5" t="s">
        <v>48</v>
      </c>
      <c r="B154" s="5" t="s">
        <v>49</v>
      </c>
      <c r="C154" s="5" t="n">
        <v>1</v>
      </c>
      <c r="D154" s="5" t="s">
        <v>270</v>
      </c>
      <c r="E154" s="5" t="s">
        <v>388</v>
      </c>
      <c r="F154" s="5" t="s">
        <v>219</v>
      </c>
      <c r="G154" s="5" t="s">
        <v>275</v>
      </c>
      <c r="H154" s="5" t="s">
        <v>394</v>
      </c>
    </row>
    <row r="155" customFormat="false" ht="42.75" hidden="false" customHeight="true" outlineLevel="0" collapsed="false">
      <c r="A155" s="5" t="s">
        <v>48</v>
      </c>
      <c r="B155" s="5" t="s">
        <v>49</v>
      </c>
      <c r="C155" s="5" t="n">
        <v>1</v>
      </c>
      <c r="D155" s="5" t="s">
        <v>270</v>
      </c>
      <c r="E155" s="5" t="s">
        <v>388</v>
      </c>
      <c r="F155" s="5" t="s">
        <v>221</v>
      </c>
      <c r="G155" s="5" t="s">
        <v>322</v>
      </c>
      <c r="H155" s="5" t="s">
        <v>395</v>
      </c>
    </row>
    <row r="156" customFormat="false" ht="16.5" hidden="false" customHeight="true" outlineLevel="0" collapsed="false">
      <c r="A156" s="5" t="s">
        <v>48</v>
      </c>
      <c r="B156" s="5" t="s">
        <v>49</v>
      </c>
      <c r="C156" s="5" t="n">
        <v>1</v>
      </c>
      <c r="D156" s="5" t="s">
        <v>270</v>
      </c>
      <c r="E156" s="5" t="s">
        <v>396</v>
      </c>
      <c r="F156" s="5" t="s">
        <v>219</v>
      </c>
      <c r="G156" s="5" t="s">
        <v>275</v>
      </c>
      <c r="H156" s="5" t="s">
        <v>397</v>
      </c>
    </row>
  </sheetData>
  <autoFilter ref="A4:H1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0"/>
    <col collapsed="false" customWidth="true" hidden="false" outlineLevel="0" max="6" min="3" style="0" width="40"/>
  </cols>
  <sheetData>
    <row r="1" customFormat="false" ht="17.35" hidden="false" customHeight="false" outlineLevel="0" collapsed="false">
      <c r="A1" s="1" t="s">
        <v>398</v>
      </c>
    </row>
    <row r="3" customFormat="false" ht="15" hidden="false" customHeight="false" outlineLevel="0" collapsed="false">
      <c r="A3" s="6" t="s">
        <v>399</v>
      </c>
    </row>
    <row r="4" customFormat="false" ht="15" hidden="false" customHeight="false" outlineLevel="0" collapsed="false">
      <c r="A4" s="19" t="s">
        <v>400</v>
      </c>
      <c r="B4" s="19" t="s">
        <v>401</v>
      </c>
    </row>
    <row r="5" customFormat="false" ht="15" hidden="false" customHeight="false" outlineLevel="0" collapsed="false">
      <c r="A5" s="3" t="n">
        <v>1</v>
      </c>
      <c r="B5" s="5" t="s">
        <v>402</v>
      </c>
    </row>
    <row r="6" customFormat="false" ht="15" hidden="false" customHeight="false" outlineLevel="0" collapsed="false">
      <c r="A6" s="3" t="n">
        <v>2</v>
      </c>
      <c r="B6" s="5" t="s">
        <v>403</v>
      </c>
    </row>
    <row r="7" customFormat="false" ht="15" hidden="false" customHeight="false" outlineLevel="0" collapsed="false">
      <c r="A7" s="3" t="n">
        <v>3</v>
      </c>
      <c r="B7" s="5" t="s">
        <v>404</v>
      </c>
    </row>
    <row r="8" customFormat="false" ht="15" hidden="false" customHeight="false" outlineLevel="0" collapsed="false">
      <c r="A8" s="3" t="n">
        <v>4</v>
      </c>
      <c r="B8" s="5" t="s">
        <v>405</v>
      </c>
    </row>
    <row r="9" customFormat="false" ht="23.85" hidden="false" customHeight="false" outlineLevel="0" collapsed="false">
      <c r="A9" s="3" t="n">
        <v>5</v>
      </c>
      <c r="B9" s="5" t="s">
        <v>406</v>
      </c>
    </row>
    <row r="10" customFormat="false" ht="15" hidden="false" customHeight="false" outlineLevel="0" collapsed="false">
      <c r="A10" s="3" t="n">
        <v>6</v>
      </c>
      <c r="B10" s="5" t="s">
        <v>407</v>
      </c>
    </row>
    <row r="11" customFormat="false" ht="15" hidden="false" customHeight="false" outlineLevel="0" collapsed="false">
      <c r="A11" s="3" t="n">
        <v>7</v>
      </c>
      <c r="B11" s="5" t="s">
        <v>408</v>
      </c>
    </row>
    <row r="13" customFormat="false" ht="15" hidden="false" customHeight="false" outlineLevel="0" collapsed="false">
      <c r="A13" s="6" t="s">
        <v>409</v>
      </c>
    </row>
    <row r="14" customFormat="false" ht="15" hidden="false" customHeight="false" outlineLevel="0" collapsed="false">
      <c r="A14" s="19" t="s">
        <v>400</v>
      </c>
      <c r="B14" s="19" t="s">
        <v>410</v>
      </c>
      <c r="C14" s="19" t="s">
        <v>411</v>
      </c>
      <c r="D14" s="19" t="s">
        <v>412</v>
      </c>
      <c r="E14" s="19" t="s">
        <v>413</v>
      </c>
    </row>
    <row r="15" customFormat="false" ht="66" hidden="false" customHeight="true" outlineLevel="0" collapsed="false">
      <c r="A15" s="3" t="n">
        <v>8</v>
      </c>
      <c r="B15" s="5" t="s">
        <v>414</v>
      </c>
      <c r="C15" s="5" t="s">
        <v>415</v>
      </c>
      <c r="D15" s="5" t="s">
        <v>416</v>
      </c>
      <c r="E15" s="5" t="s">
        <v>417</v>
      </c>
    </row>
    <row r="16" customFormat="false" ht="66" hidden="false" customHeight="true" outlineLevel="0" collapsed="false">
      <c r="A16" s="3" t="n">
        <v>9</v>
      </c>
      <c r="B16" s="5" t="s">
        <v>418</v>
      </c>
      <c r="C16" s="5" t="s">
        <v>419</v>
      </c>
      <c r="D16" s="5" t="s">
        <v>420</v>
      </c>
      <c r="E16" s="5" t="s">
        <v>421</v>
      </c>
    </row>
    <row r="17" customFormat="false" ht="66" hidden="false" customHeight="true" outlineLevel="0" collapsed="false">
      <c r="A17" s="3" t="n">
        <v>10</v>
      </c>
      <c r="B17" s="5" t="s">
        <v>422</v>
      </c>
      <c r="C17" s="5" t="s">
        <v>423</v>
      </c>
      <c r="D17" s="5" t="s">
        <v>424</v>
      </c>
      <c r="E17" s="5" t="s">
        <v>425</v>
      </c>
    </row>
    <row r="19" customFormat="false" ht="15" hidden="false" customHeight="false" outlineLevel="0" collapsed="false">
      <c r="A19" s="6" t="s">
        <v>426</v>
      </c>
    </row>
    <row r="20" customFormat="false" ht="15" hidden="false" customHeight="false" outlineLevel="0" collapsed="false">
      <c r="A20" s="19" t="s">
        <v>400</v>
      </c>
      <c r="B20" s="19" t="s">
        <v>427</v>
      </c>
    </row>
    <row r="21" customFormat="false" ht="15" hidden="false" customHeight="false" outlineLevel="0" collapsed="false">
      <c r="A21" s="3" t="n">
        <v>1</v>
      </c>
      <c r="B21" s="3" t="s">
        <v>428</v>
      </c>
    </row>
    <row r="22" customFormat="false" ht="15" hidden="false" customHeight="false" outlineLevel="0" collapsed="false">
      <c r="A22" s="3" t="n">
        <v>2</v>
      </c>
      <c r="B22" s="3" t="s">
        <v>429</v>
      </c>
    </row>
    <row r="23" customFormat="false" ht="15" hidden="false" customHeight="false" outlineLevel="0" collapsed="false">
      <c r="A23" s="3" t="n">
        <v>3</v>
      </c>
      <c r="B23" s="3" t="s">
        <v>430</v>
      </c>
    </row>
    <row r="24" customFormat="false" ht="15" hidden="false" customHeight="false" outlineLevel="0" collapsed="false">
      <c r="A24" s="3" t="n">
        <v>4</v>
      </c>
      <c r="B24" s="3" t="s">
        <v>431</v>
      </c>
    </row>
    <row r="25" customFormat="false" ht="15" hidden="false" customHeight="false" outlineLevel="0" collapsed="false">
      <c r="A25" s="3" t="n">
        <v>5</v>
      </c>
      <c r="B25" s="3" t="s">
        <v>432</v>
      </c>
    </row>
    <row r="27" customFormat="false" ht="15" hidden="false" customHeight="false" outlineLevel="0" collapsed="false">
      <c r="A27" s="6" t="s">
        <v>433</v>
      </c>
    </row>
    <row r="28" customFormat="false" ht="43.5" hidden="false" customHeight="true" outlineLevel="0" collapsed="false">
      <c r="A28" s="6" t="s">
        <v>217</v>
      </c>
      <c r="B28" s="20" t="s">
        <v>434</v>
      </c>
      <c r="C28" s="20"/>
      <c r="D28" s="20"/>
      <c r="E28" s="20"/>
    </row>
    <row r="29" customFormat="false" ht="43.5" hidden="false" customHeight="true" outlineLevel="0" collapsed="false">
      <c r="A29" s="6" t="s">
        <v>238</v>
      </c>
      <c r="B29" s="20" t="s">
        <v>435</v>
      </c>
      <c r="C29" s="20"/>
      <c r="D29" s="20"/>
      <c r="E29" s="20"/>
    </row>
    <row r="30" customFormat="false" ht="43.5" hidden="false" customHeight="true" outlineLevel="0" collapsed="false">
      <c r="A30" s="6" t="s">
        <v>256</v>
      </c>
      <c r="B30" s="20" t="s">
        <v>436</v>
      </c>
      <c r="C30" s="20"/>
      <c r="D30" s="20"/>
      <c r="E30" s="20"/>
    </row>
    <row r="31" customFormat="false" ht="43.5" hidden="false" customHeight="true" outlineLevel="0" collapsed="false">
      <c r="A31" s="6" t="s">
        <v>270</v>
      </c>
      <c r="B31" s="20" t="s">
        <v>437</v>
      </c>
      <c r="C31" s="20"/>
      <c r="D31" s="20"/>
      <c r="E31" s="20"/>
    </row>
  </sheetData>
  <mergeCells count="4">
    <mergeCell ref="B28:E28"/>
    <mergeCell ref="B29:E29"/>
    <mergeCell ref="B30:E30"/>
    <mergeCell ref="B31:E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4" min="3" style="0" width="14"/>
    <col collapsed="false" customWidth="true" hidden="false" outlineLevel="0" max="5" min="5" style="0" width="12"/>
    <col collapsed="false" customWidth="true" hidden="false" outlineLevel="0" max="6" min="6" style="0" width="60"/>
  </cols>
  <sheetData>
    <row r="1" customFormat="false" ht="17.35" hidden="false" customHeight="false" outlineLevel="0" collapsed="false">
      <c r="A1" s="1" t="s">
        <v>15</v>
      </c>
    </row>
    <row r="2" customFormat="false" ht="15" hidden="false" customHeight="false" outlineLevel="0" collapsed="false">
      <c r="A2" s="7" t="s">
        <v>438</v>
      </c>
    </row>
    <row r="4" customFormat="false" ht="15" hidden="false" customHeight="false" outlineLevel="0" collapsed="false">
      <c r="A4" s="8" t="s">
        <v>439</v>
      </c>
      <c r="B4" s="8" t="s">
        <v>440</v>
      </c>
      <c r="C4" s="8" t="s">
        <v>441</v>
      </c>
      <c r="D4" s="8" t="s">
        <v>442</v>
      </c>
      <c r="E4" s="8" t="s">
        <v>443</v>
      </c>
      <c r="F4" s="8" t="s">
        <v>444</v>
      </c>
    </row>
    <row r="5" customFormat="false" ht="15" hidden="false" customHeight="false" outlineLevel="0" collapsed="false">
      <c r="A5" s="3" t="n">
        <v>1</v>
      </c>
      <c r="B5" s="21"/>
      <c r="C5" s="21"/>
      <c r="D5" s="21"/>
      <c r="E5" s="22" t="str">
        <f aca="false">IF(OR(C5="",D5=""),"",ABS(C5-D5))</f>
        <v/>
      </c>
      <c r="F5" s="21"/>
    </row>
    <row r="6" customFormat="false" ht="15" hidden="false" customHeight="false" outlineLevel="0" collapsed="false">
      <c r="A6" s="3" t="n">
        <v>2</v>
      </c>
      <c r="B6" s="21"/>
      <c r="C6" s="21"/>
      <c r="D6" s="21"/>
      <c r="E6" s="22" t="str">
        <f aca="false">IF(OR(C6="",D6=""),"",ABS(C6-D6))</f>
        <v/>
      </c>
      <c r="F6" s="21"/>
    </row>
    <row r="8" customFormat="false" ht="15" hidden="false" customHeight="false" outlineLevel="0" collapsed="false">
      <c r="A8" s="7" t="s">
        <v>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2026-10-23T04:48:15Z</dcterms:created>
  <dc:creator>openpyxl</dc:creator>
  <dc:description/>
  <dc:language>en-US</dc:language>
  <cp:lastModifiedBy/>
  <dcterms:modified xsi:type="dcterms:W3CDTF">2026-10-23T04:48:15Z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